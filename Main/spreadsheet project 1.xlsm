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filterPrivacy="1" codeName="ThisWorkbook"/>
  <xr:revisionPtr revIDLastSave="0" documentId="13_ncr:1_{DC7F5869-9FD8-4973-8F2F-D36929F71AB8}" xr6:coauthVersionLast="46" xr6:coauthVersionMax="46" xr10:uidLastSave="{00000000-0000-0000-0000-000000000000}"/>
  <bookViews>
    <workbookView xWindow="-108" yWindow="-108" windowWidth="23256" windowHeight="12576" firstSheet="4" activeTab="10" xr2:uid="{00000000-000D-0000-FFFF-FFFF00000000}"/>
  </bookViews>
  <sheets>
    <sheet name="Spread" sheetId="1" r:id="rId1"/>
    <sheet name="Trading MSCI Bid" sheetId="12" r:id="rId2"/>
    <sheet name="Trading MSCI Ask" sheetId="14" r:id="rId3"/>
    <sheet name="Trading ETF Bid" sheetId="15" r:id="rId4"/>
    <sheet name="Trading ETF Ask" sheetId="16" r:id="rId5"/>
    <sheet name="Dividend " sheetId="7" r:id="rId6"/>
    <sheet name="STI ETF " sheetId="3" r:id="rId7"/>
    <sheet name="SiMSCI " sheetId="2" r:id="rId8"/>
    <sheet name="Live Price" sheetId="4" r:id="rId9"/>
    <sheet name="Name Conversion " sheetId="5" r:id="rId10"/>
    <sheet name="Sheet2" sheetId="6" r:id="rId11"/>
    <sheet name="Historical data" sheetId="13" r:id="rId12"/>
  </sheets>
  <functionGroups builtInGroupCount="19"/>
  <definedNames>
    <definedName name="SpreadsheetBuilder_11" hidden="1">Spread!#REF!</definedName>
    <definedName name="SpreadsheetBuilder_12" hidden="1">'Live Price'!$I$4:$J$6</definedName>
    <definedName name="SpreadsheetBuilder_13" hidden="1">Spread!$G$67:$H$69</definedName>
    <definedName name="SpreadsheetBuilder_14" hidden="1">'Live Price'!$W$41:$Y$44</definedName>
    <definedName name="SpreadsheetBuilder_2" hidden="1">Spread!#REF!</definedName>
    <definedName name="SpreadsheetBuilder_3" hidden="1">Spread!#REF!</definedName>
    <definedName name="SpreadsheetBuilder_4" hidden="1">'Live Price'!#REF!</definedName>
    <definedName name="SpreadsheetBuilder_5" hidden="1">'Live Price'!#REF!</definedName>
    <definedName name="SpreadsheetBuilder_6" hidden="1">'Live Price'!$W$2:$Z$22</definedName>
    <definedName name="SpreadsheetBuilder_7" hidden="1">'Live Price'!$C$3:$F$34</definedName>
    <definedName name="SpreadsheetBuilder_8" hidden="1">'Live Price'!$W$33:$Z$37</definedName>
    <definedName name="SpreadsheetBuilder_9" hidden="1">Spread!#REF!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 i="15" l="1"/>
  <c r="D2" i="15"/>
  <c r="E2" i="15"/>
  <c r="F2" i="15"/>
  <c r="G2" i="15"/>
  <c r="H2" i="15"/>
  <c r="I2" i="15"/>
  <c r="J2" i="15"/>
  <c r="K2" i="15"/>
  <c r="L2" i="15"/>
  <c r="M2" i="15"/>
  <c r="N2" i="15"/>
  <c r="O2" i="15"/>
  <c r="P2" i="15"/>
  <c r="Q2" i="15"/>
  <c r="R2" i="15"/>
  <c r="S2" i="15"/>
  <c r="T2" i="15"/>
  <c r="U2" i="15"/>
  <c r="V2" i="15"/>
  <c r="B2" i="15"/>
  <c r="C2" i="16"/>
  <c r="D2" i="16"/>
  <c r="E2" i="16"/>
  <c r="F2" i="16"/>
  <c r="G2" i="16"/>
  <c r="H2" i="16"/>
  <c r="I2" i="16"/>
  <c r="J2" i="16"/>
  <c r="K2" i="16"/>
  <c r="L2" i="16"/>
  <c r="M2" i="16"/>
  <c r="N2" i="16"/>
  <c r="O2" i="16"/>
  <c r="P2" i="16"/>
  <c r="Q2" i="16"/>
  <c r="R2" i="16"/>
  <c r="S2" i="16"/>
  <c r="T2" i="16"/>
  <c r="U2" i="16"/>
  <c r="V2" i="16"/>
  <c r="B2" i="16"/>
  <c r="Y3" i="15"/>
  <c r="Y3" i="14"/>
  <c r="Y3" i="16"/>
  <c r="M3" i="16"/>
  <c r="N3" i="16"/>
  <c r="U3" i="16"/>
  <c r="V3" i="16"/>
  <c r="B6" i="16"/>
  <c r="M3" i="15"/>
  <c r="N3" i="15"/>
  <c r="U3" i="15"/>
  <c r="V3" i="15"/>
  <c r="O42" i="1"/>
  <c r="O3" i="16" s="1"/>
  <c r="B6" i="15"/>
  <c r="B42" i="1"/>
  <c r="B3" i="16" s="1"/>
  <c r="O36" i="1"/>
  <c r="O3" i="15" s="1"/>
  <c r="B36" i="1"/>
  <c r="B3" i="15" s="1"/>
  <c r="M3" i="14"/>
  <c r="N3" i="14"/>
  <c r="U3" i="14"/>
  <c r="V3" i="14"/>
  <c r="R2" i="14"/>
  <c r="S2" i="14"/>
  <c r="T2" i="14"/>
  <c r="U2" i="14"/>
  <c r="V2" i="14"/>
  <c r="C2" i="14"/>
  <c r="D2" i="14"/>
  <c r="E2" i="14"/>
  <c r="F2" i="14"/>
  <c r="G2" i="14"/>
  <c r="H2" i="14"/>
  <c r="I2" i="14"/>
  <c r="J2" i="14"/>
  <c r="K2" i="14"/>
  <c r="L2" i="14"/>
  <c r="M2" i="14"/>
  <c r="N2" i="14"/>
  <c r="O2" i="14"/>
  <c r="P2" i="14"/>
  <c r="Q2" i="14"/>
  <c r="B2" i="14"/>
  <c r="B6" i="14"/>
  <c r="O29" i="1"/>
  <c r="O3" i="14" s="1"/>
  <c r="B29" i="1"/>
  <c r="B3" i="14" s="1"/>
  <c r="U3" i="12"/>
  <c r="H67" i="1"/>
  <c r="Y33" i="4"/>
  <c r="Y2" i="4"/>
  <c r="X2" i="4"/>
  <c r="E3" i="4"/>
  <c r="D3" i="4"/>
  <c r="X33" i="4"/>
  <c r="Z33" i="4"/>
  <c r="AA33" i="4"/>
  <c r="AB33" i="4"/>
  <c r="F3" i="4"/>
  <c r="Z2" i="4"/>
  <c r="X3" i="12" l="1"/>
  <c r="B6" i="12"/>
  <c r="M3" i="12"/>
  <c r="V3" i="12"/>
  <c r="O20" i="1"/>
  <c r="B20" i="1"/>
  <c r="AA35" i="4"/>
  <c r="AB35" i="4"/>
  <c r="O3" i="12" l="1"/>
  <c r="B3" i="12"/>
  <c r="J8" i="1"/>
  <c r="R36" i="1" s="1"/>
  <c r="R3" i="15" s="1"/>
  <c r="H69" i="1"/>
  <c r="Y5" i="1"/>
  <c r="Y4" i="1"/>
  <c r="J2" i="4"/>
  <c r="Y6" i="1"/>
  <c r="Y3" i="1"/>
  <c r="AB36" i="4"/>
  <c r="AA36" i="4"/>
  <c r="D42" i="1" l="1"/>
  <c r="T29" i="1"/>
  <c r="H20" i="1"/>
  <c r="F3" i="1"/>
  <c r="G8" i="1"/>
  <c r="R42" i="1" s="1"/>
  <c r="R3" i="16" s="1"/>
  <c r="I3" i="1"/>
  <c r="Z3" i="1"/>
  <c r="B1" i="13"/>
  <c r="C1" i="13"/>
  <c r="D1" i="13"/>
  <c r="E1" i="13"/>
  <c r="F1" i="13"/>
  <c r="G1" i="13"/>
  <c r="H1" i="13"/>
  <c r="I1" i="13"/>
  <c r="J1" i="13"/>
  <c r="K1" i="13"/>
  <c r="L1" i="13"/>
  <c r="M1" i="13"/>
  <c r="N1" i="13"/>
  <c r="O1" i="13"/>
  <c r="P1" i="13"/>
  <c r="Q1" i="13"/>
  <c r="A1" i="13"/>
  <c r="A13" i="1"/>
  <c r="AA22" i="4"/>
  <c r="AA21" i="4"/>
  <c r="AA20" i="4"/>
  <c r="AA19" i="4"/>
  <c r="AA18" i="4"/>
  <c r="AA17" i="4"/>
  <c r="AA16" i="4"/>
  <c r="AA15" i="4"/>
  <c r="AA12" i="4"/>
  <c r="AA11" i="4"/>
  <c r="AA10" i="4"/>
  <c r="AA9" i="4"/>
  <c r="AA8" i="4"/>
  <c r="AA7" i="4"/>
  <c r="AA6" i="4"/>
  <c r="AA5" i="4"/>
  <c r="AA4" i="4"/>
  <c r="R5" i="2"/>
  <c r="X35" i="4"/>
  <c r="E42" i="1" l="1"/>
  <c r="D3" i="16"/>
  <c r="H36" i="1"/>
  <c r="T42" i="1"/>
  <c r="T3" i="16" s="1"/>
  <c r="H42" i="1"/>
  <c r="H3" i="16" s="1"/>
  <c r="T36" i="1"/>
  <c r="H29" i="1"/>
  <c r="H3" i="14" s="1"/>
  <c r="D36" i="1"/>
  <c r="T3" i="14"/>
  <c r="R29" i="1"/>
  <c r="D29" i="1"/>
  <c r="T20" i="1"/>
  <c r="T3" i="12" s="1"/>
  <c r="H3" i="12"/>
  <c r="R20" i="1"/>
  <c r="D20" i="1"/>
  <c r="I14" i="4"/>
  <c r="Z4" i="1"/>
  <c r="AH1" i="3"/>
  <c r="E3" i="16" l="1"/>
  <c r="D3" i="15"/>
  <c r="T3" i="15"/>
  <c r="H3" i="15"/>
  <c r="D3" i="14"/>
  <c r="R3" i="14"/>
  <c r="E29" i="1"/>
  <c r="R3" i="12"/>
  <c r="D3" i="12"/>
  <c r="E20" i="1"/>
  <c r="I6" i="4"/>
  <c r="I8" i="4"/>
  <c r="I9" i="4"/>
  <c r="I10" i="4"/>
  <c r="I11" i="4"/>
  <c r="I12" i="4"/>
  <c r="I13" i="4"/>
  <c r="I17" i="4"/>
  <c r="I18" i="4"/>
  <c r="I19" i="4"/>
  <c r="I20" i="4"/>
  <c r="I21" i="4"/>
  <c r="I22" i="4"/>
  <c r="I23" i="4"/>
  <c r="I24" i="4"/>
  <c r="I25" i="4"/>
  <c r="I26" i="4"/>
  <c r="I27" i="4"/>
  <c r="I28" i="4"/>
  <c r="I29" i="4"/>
  <c r="I30" i="4"/>
  <c r="I31" i="4"/>
  <c r="I32" i="4"/>
  <c r="I33" i="4"/>
  <c r="I34" i="4"/>
  <c r="I5" i="4"/>
  <c r="I7" i="4" l="1"/>
  <c r="I15" i="4"/>
  <c r="I16" i="4"/>
  <c r="G5" i="4" l="1"/>
  <c r="AA14" i="4" l="1"/>
  <c r="AA13" i="4"/>
  <c r="R4" i="2"/>
  <c r="B3" i="1" l="1"/>
  <c r="B31" i="6"/>
  <c r="C31" i="6" s="1"/>
  <c r="E31" i="6" s="1"/>
  <c r="A31" i="6"/>
  <c r="H30" i="6"/>
  <c r="G30" i="6"/>
  <c r="B30" i="6"/>
  <c r="C30" i="6" s="1"/>
  <c r="A30" i="6"/>
  <c r="H29" i="6"/>
  <c r="G29" i="6"/>
  <c r="B29" i="6"/>
  <c r="C29" i="6" s="1"/>
  <c r="A29" i="6"/>
  <c r="H28" i="6"/>
  <c r="G28" i="6"/>
  <c r="B28" i="6"/>
  <c r="C28" i="6" s="1"/>
  <c r="A28" i="6"/>
  <c r="H27" i="6"/>
  <c r="I27" i="6" s="1"/>
  <c r="G27" i="6"/>
  <c r="B27" i="6"/>
  <c r="C27" i="6" s="1"/>
  <c r="E27" i="6" s="1"/>
  <c r="A27" i="6"/>
  <c r="H26" i="6"/>
  <c r="I26" i="6" s="1"/>
  <c r="G26" i="6"/>
  <c r="B26" i="6"/>
  <c r="C26" i="6" s="1"/>
  <c r="E26" i="6" s="1"/>
  <c r="A26" i="6"/>
  <c r="H25" i="6"/>
  <c r="I25" i="6" s="1"/>
  <c r="G25" i="6"/>
  <c r="B25" i="6"/>
  <c r="C25" i="6" s="1"/>
  <c r="E25" i="6" s="1"/>
  <c r="A25" i="6"/>
  <c r="H24" i="6"/>
  <c r="G24" i="6"/>
  <c r="B24" i="6"/>
  <c r="C24" i="6" s="1"/>
  <c r="A24" i="6"/>
  <c r="H23" i="6"/>
  <c r="I23" i="6" s="1"/>
  <c r="G23" i="6"/>
  <c r="B23" i="6"/>
  <c r="C23" i="6" s="1"/>
  <c r="E23" i="6" s="1"/>
  <c r="A23" i="6"/>
  <c r="H22" i="6"/>
  <c r="I22" i="6" s="1"/>
  <c r="G22" i="6"/>
  <c r="B22" i="6"/>
  <c r="C22" i="6" s="1"/>
  <c r="E22" i="6" s="1"/>
  <c r="A22" i="6"/>
  <c r="B21" i="6"/>
  <c r="C21" i="6" s="1"/>
  <c r="A21" i="6"/>
  <c r="C20" i="6"/>
  <c r="J20" i="6" s="1"/>
  <c r="B20" i="6"/>
  <c r="A20" i="6"/>
  <c r="H19" i="6"/>
  <c r="G19" i="6"/>
  <c r="B19" i="6"/>
  <c r="C19" i="6" s="1"/>
  <c r="A19" i="6"/>
  <c r="H18" i="6"/>
  <c r="G18" i="6"/>
  <c r="B18" i="6"/>
  <c r="C18" i="6" s="1"/>
  <c r="A18" i="6"/>
  <c r="B17" i="6"/>
  <c r="C17" i="6" s="1"/>
  <c r="A17" i="6"/>
  <c r="H16" i="6"/>
  <c r="G16" i="6"/>
  <c r="B16" i="6"/>
  <c r="C16" i="6" s="1"/>
  <c r="A16" i="6"/>
  <c r="H15" i="6"/>
  <c r="G15" i="6"/>
  <c r="B15" i="6"/>
  <c r="C15" i="6" s="1"/>
  <c r="A15" i="6"/>
  <c r="B14" i="6"/>
  <c r="C14" i="6" s="1"/>
  <c r="A14" i="6"/>
  <c r="B13" i="6"/>
  <c r="C13" i="6" s="1"/>
  <c r="A13" i="6"/>
  <c r="B12" i="6"/>
  <c r="C12" i="6" s="1"/>
  <c r="J12" i="6" s="1"/>
  <c r="A12" i="6"/>
  <c r="B11" i="6"/>
  <c r="C11" i="6" s="1"/>
  <c r="J11" i="6" s="1"/>
  <c r="A11" i="6"/>
  <c r="H10" i="6"/>
  <c r="G10" i="6"/>
  <c r="B10" i="6"/>
  <c r="C10" i="6" s="1"/>
  <c r="A10" i="6"/>
  <c r="B9" i="6"/>
  <c r="C9" i="6" s="1"/>
  <c r="A9" i="6"/>
  <c r="B8" i="6"/>
  <c r="C8" i="6" s="1"/>
  <c r="A8" i="6"/>
  <c r="H7" i="6"/>
  <c r="I7" i="6" s="1"/>
  <c r="G7" i="6"/>
  <c r="B7" i="6"/>
  <c r="C7" i="6" s="1"/>
  <c r="E7" i="6" s="1"/>
  <c r="A7" i="6"/>
  <c r="H6" i="6"/>
  <c r="G6" i="6"/>
  <c r="B6" i="6"/>
  <c r="C6" i="6" s="1"/>
  <c r="A6" i="6"/>
  <c r="H5" i="6"/>
  <c r="G5" i="6"/>
  <c r="B5" i="6"/>
  <c r="C5" i="6" s="1"/>
  <c r="A5" i="6"/>
  <c r="B4" i="6"/>
  <c r="C4" i="6" s="1"/>
  <c r="A4" i="6"/>
  <c r="H3" i="6"/>
  <c r="G3" i="6"/>
  <c r="B3" i="6"/>
  <c r="C3" i="6" s="1"/>
  <c r="A3" i="6"/>
  <c r="H2" i="6"/>
  <c r="G2" i="6"/>
  <c r="B2" i="6"/>
  <c r="C2" i="6" s="1"/>
  <c r="A2" i="6"/>
  <c r="B31" i="5"/>
  <c r="C31" i="5" s="1"/>
  <c r="E31" i="5" s="1"/>
  <c r="A31" i="5"/>
  <c r="B30" i="5"/>
  <c r="C30" i="5" s="1"/>
  <c r="E30" i="5" s="1"/>
  <c r="A30" i="5"/>
  <c r="B29" i="5"/>
  <c r="C29" i="5" s="1"/>
  <c r="E29" i="5" s="1"/>
  <c r="A29" i="5"/>
  <c r="B28" i="5"/>
  <c r="C28" i="5" s="1"/>
  <c r="E28" i="5" s="1"/>
  <c r="A28" i="5"/>
  <c r="B27" i="5"/>
  <c r="C27" i="5" s="1"/>
  <c r="E27" i="5" s="1"/>
  <c r="A27" i="5"/>
  <c r="B26" i="5"/>
  <c r="C26" i="5" s="1"/>
  <c r="E26" i="5" s="1"/>
  <c r="A26" i="5"/>
  <c r="B25" i="5"/>
  <c r="C25" i="5" s="1"/>
  <c r="E25" i="5" s="1"/>
  <c r="A25" i="5"/>
  <c r="B24" i="5"/>
  <c r="C24" i="5" s="1"/>
  <c r="E24" i="5" s="1"/>
  <c r="A24" i="5"/>
  <c r="B23" i="5"/>
  <c r="C23" i="5" s="1"/>
  <c r="E23" i="5" s="1"/>
  <c r="A23" i="5"/>
  <c r="B22" i="5"/>
  <c r="C22" i="5" s="1"/>
  <c r="E22" i="5" s="1"/>
  <c r="A22" i="5"/>
  <c r="B21" i="5"/>
  <c r="C21" i="5" s="1"/>
  <c r="E21" i="5" s="1"/>
  <c r="A21" i="5"/>
  <c r="H20" i="5"/>
  <c r="I20" i="5" s="1"/>
  <c r="K20" i="5" s="1"/>
  <c r="G20" i="5"/>
  <c r="B20" i="5"/>
  <c r="C20" i="5" s="1"/>
  <c r="E20" i="5" s="1"/>
  <c r="A20" i="5"/>
  <c r="K19" i="5"/>
  <c r="H19" i="5"/>
  <c r="G19" i="5"/>
  <c r="B19" i="5"/>
  <c r="C19" i="5" s="1"/>
  <c r="E19" i="5" s="1"/>
  <c r="A19" i="5"/>
  <c r="K18" i="5"/>
  <c r="H18" i="5"/>
  <c r="G18" i="5"/>
  <c r="B18" i="5"/>
  <c r="C18" i="5" s="1"/>
  <c r="E18" i="5" s="1"/>
  <c r="A18" i="5"/>
  <c r="K17" i="5"/>
  <c r="H17" i="5"/>
  <c r="G17" i="5"/>
  <c r="B17" i="5"/>
  <c r="C17" i="5" s="1"/>
  <c r="E17" i="5" s="1"/>
  <c r="A17" i="5"/>
  <c r="K16" i="5"/>
  <c r="H16" i="5"/>
  <c r="G16" i="5"/>
  <c r="B16" i="5"/>
  <c r="C16" i="5" s="1"/>
  <c r="E16" i="5" s="1"/>
  <c r="A16" i="5"/>
  <c r="K15" i="5"/>
  <c r="H15" i="5"/>
  <c r="G15" i="5"/>
  <c r="B15" i="5"/>
  <c r="C15" i="5" s="1"/>
  <c r="E15" i="5" s="1"/>
  <c r="A15" i="5"/>
  <c r="K14" i="5"/>
  <c r="H14" i="5"/>
  <c r="G14" i="5"/>
  <c r="B14" i="5"/>
  <c r="C14" i="5" s="1"/>
  <c r="E14" i="5" s="1"/>
  <c r="A14" i="5"/>
  <c r="H13" i="5"/>
  <c r="I13" i="5" s="1"/>
  <c r="K13" i="5" s="1"/>
  <c r="G13" i="5"/>
  <c r="B13" i="5"/>
  <c r="C13" i="5" s="1"/>
  <c r="E13" i="5" s="1"/>
  <c r="A13" i="5"/>
  <c r="H12" i="5"/>
  <c r="I12" i="5" s="1"/>
  <c r="K12" i="5" s="1"/>
  <c r="G12" i="5"/>
  <c r="B12" i="5"/>
  <c r="C12" i="5" s="1"/>
  <c r="E12" i="5" s="1"/>
  <c r="A12" i="5"/>
  <c r="K11" i="5"/>
  <c r="W13" i="4" s="1"/>
  <c r="H11" i="5"/>
  <c r="G11" i="5"/>
  <c r="B11" i="5"/>
  <c r="C11" i="5" s="1"/>
  <c r="E11" i="5" s="1"/>
  <c r="A11" i="5"/>
  <c r="H10" i="5"/>
  <c r="I10" i="5" s="1"/>
  <c r="K10" i="5" s="1"/>
  <c r="G10" i="5"/>
  <c r="B10" i="5"/>
  <c r="C10" i="5" s="1"/>
  <c r="E10" i="5" s="1"/>
  <c r="A10" i="5"/>
  <c r="K9" i="5"/>
  <c r="H9" i="5"/>
  <c r="G9" i="5"/>
  <c r="B9" i="5"/>
  <c r="C9" i="5" s="1"/>
  <c r="E9" i="5" s="1"/>
  <c r="A9" i="5"/>
  <c r="K8" i="5"/>
  <c r="H8" i="5"/>
  <c r="G8" i="5"/>
  <c r="B8" i="5"/>
  <c r="C8" i="5" s="1"/>
  <c r="E8" i="5" s="1"/>
  <c r="A8" i="5"/>
  <c r="K7" i="5"/>
  <c r="H7" i="5"/>
  <c r="G7" i="5"/>
  <c r="B7" i="5"/>
  <c r="C7" i="5" s="1"/>
  <c r="E7" i="5" s="1"/>
  <c r="A7" i="5"/>
  <c r="K6" i="5"/>
  <c r="H6" i="5"/>
  <c r="G6" i="5"/>
  <c r="B6" i="5"/>
  <c r="C6" i="5" s="1"/>
  <c r="E6" i="5" s="1"/>
  <c r="A6" i="5"/>
  <c r="K5" i="5"/>
  <c r="H5" i="5"/>
  <c r="G5" i="5"/>
  <c r="B5" i="5"/>
  <c r="C5" i="5" s="1"/>
  <c r="E5" i="5" s="1"/>
  <c r="A5" i="5"/>
  <c r="H4" i="5"/>
  <c r="I4" i="5" s="1"/>
  <c r="K4" i="5" s="1"/>
  <c r="G4" i="5"/>
  <c r="B4" i="5"/>
  <c r="C4" i="5" s="1"/>
  <c r="E4" i="5" s="1"/>
  <c r="A4" i="5"/>
  <c r="K3" i="5"/>
  <c r="H3" i="5"/>
  <c r="G3" i="5"/>
  <c r="B3" i="5"/>
  <c r="C3" i="5" s="1"/>
  <c r="E3" i="5" s="1"/>
  <c r="A3" i="5"/>
  <c r="Q2" i="5"/>
  <c r="H2" i="5"/>
  <c r="I2" i="5" s="1"/>
  <c r="K2" i="5" s="1"/>
  <c r="G2" i="5"/>
  <c r="B2" i="5"/>
  <c r="C2" i="5" s="1"/>
  <c r="E2" i="5" s="1"/>
  <c r="A2" i="5"/>
  <c r="Y35" i="4"/>
  <c r="Z36" i="4"/>
  <c r="Z35" i="4"/>
  <c r="X37" i="4"/>
  <c r="Y36" i="4"/>
  <c r="X13" i="4"/>
  <c r="Y37" i="4"/>
  <c r="X36" i="4"/>
  <c r="Z37" i="4"/>
  <c r="J4" i="6" l="1"/>
  <c r="E4" i="6"/>
  <c r="J9" i="6"/>
  <c r="E9" i="6"/>
  <c r="E15" i="6"/>
  <c r="J15" i="6" s="1"/>
  <c r="J23" i="6"/>
  <c r="J25" i="6"/>
  <c r="J27" i="6"/>
  <c r="H3" i="1"/>
  <c r="K3" i="1"/>
  <c r="G3" i="1"/>
  <c r="E5" i="6"/>
  <c r="J5" i="6" s="1"/>
  <c r="E16" i="6"/>
  <c r="J16" i="6" s="1"/>
  <c r="J21" i="6"/>
  <c r="E21" i="6"/>
  <c r="E19" i="6"/>
  <c r="J19" i="6" s="1"/>
  <c r="E2" i="6"/>
  <c r="J2" i="6" s="1"/>
  <c r="J7" i="6"/>
  <c r="E10" i="6"/>
  <c r="J10" i="6"/>
  <c r="E24" i="6"/>
  <c r="J24" i="6" s="1"/>
  <c r="E28" i="6"/>
  <c r="J28" i="6" s="1"/>
  <c r="J17" i="6"/>
  <c r="E17" i="6"/>
  <c r="E30" i="6"/>
  <c r="J30" i="6" s="1"/>
  <c r="J8" i="6"/>
  <c r="E8" i="6"/>
  <c r="J13" i="6"/>
  <c r="E13" i="6"/>
  <c r="J22" i="6"/>
  <c r="J26" i="6"/>
  <c r="E18" i="6"/>
  <c r="J18" i="6" s="1"/>
  <c r="E14" i="6"/>
  <c r="J14" i="6"/>
  <c r="E3" i="6"/>
  <c r="J3" i="6" s="1"/>
  <c r="E12" i="6"/>
  <c r="E20" i="6"/>
  <c r="E29" i="6"/>
  <c r="J29" i="6" s="1"/>
  <c r="E11" i="6"/>
  <c r="E6" i="6"/>
  <c r="J6" i="6" s="1"/>
  <c r="G34" i="4"/>
  <c r="D34" i="4"/>
  <c r="E34" i="4"/>
  <c r="F34" i="4"/>
  <c r="G36" i="1" l="1"/>
  <c r="S42" i="1"/>
  <c r="S3" i="16" s="1"/>
  <c r="G42" i="1"/>
  <c r="S36" i="1"/>
  <c r="Q29" i="1"/>
  <c r="C29" i="1"/>
  <c r="F29" i="1" s="1"/>
  <c r="E13" i="1"/>
  <c r="Q20" i="1"/>
  <c r="C13" i="1"/>
  <c r="C20" i="1"/>
  <c r="F20" i="1" s="1"/>
  <c r="J34" i="4"/>
  <c r="K34" i="4"/>
  <c r="L34" i="4"/>
  <c r="A34" i="4"/>
  <c r="G33" i="4"/>
  <c r="E33" i="4"/>
  <c r="F33" i="4"/>
  <c r="D33" i="4"/>
  <c r="G3" i="16" l="1"/>
  <c r="S3" i="15"/>
  <c r="J36" i="1"/>
  <c r="G3" i="15"/>
  <c r="Q3" i="14"/>
  <c r="F3" i="14"/>
  <c r="C3" i="14"/>
  <c r="E3" i="14" s="1"/>
  <c r="C3" i="12"/>
  <c r="E3" i="12" s="1"/>
  <c r="Q3" i="12"/>
  <c r="K33" i="4"/>
  <c r="J33" i="4"/>
  <c r="L33" i="4"/>
  <c r="A33" i="4"/>
  <c r="G32" i="4"/>
  <c r="F32" i="4"/>
  <c r="D32" i="4"/>
  <c r="E32" i="4"/>
  <c r="J3" i="15" l="1"/>
  <c r="K36" i="1"/>
  <c r="F3" i="12"/>
  <c r="J32" i="4"/>
  <c r="K32" i="4"/>
  <c r="L32" i="4"/>
  <c r="A32" i="4"/>
  <c r="G31" i="4"/>
  <c r="D31" i="4"/>
  <c r="E31" i="4"/>
  <c r="F31" i="4"/>
  <c r="K3" i="15" l="1"/>
  <c r="J31" i="4"/>
  <c r="K31" i="4"/>
  <c r="L31" i="4"/>
  <c r="A31" i="4"/>
  <c r="G30" i="4"/>
  <c r="D30" i="4"/>
  <c r="E30" i="4"/>
  <c r="F30" i="4"/>
  <c r="J30" i="4" l="1"/>
  <c r="K30" i="4"/>
  <c r="L30" i="4"/>
  <c r="A30" i="4"/>
  <c r="G29" i="4"/>
  <c r="D29" i="4"/>
  <c r="F29" i="4"/>
  <c r="E29" i="4"/>
  <c r="J29" i="4" l="1"/>
  <c r="K29" i="4"/>
  <c r="L29" i="4"/>
  <c r="A29" i="4"/>
  <c r="G28" i="4"/>
  <c r="D28" i="4"/>
  <c r="F28" i="4"/>
  <c r="E28" i="4"/>
  <c r="J28" i="4" l="1"/>
  <c r="K28" i="4"/>
  <c r="L28" i="4"/>
  <c r="A28" i="4"/>
  <c r="G27" i="4"/>
  <c r="D27" i="4"/>
  <c r="E27" i="4"/>
  <c r="F27" i="4"/>
  <c r="K27" i="4" l="1"/>
  <c r="J27" i="4"/>
  <c r="L27" i="4"/>
  <c r="A27" i="4"/>
  <c r="G26" i="4"/>
  <c r="E26" i="4"/>
  <c r="D26" i="4"/>
  <c r="F26" i="4"/>
  <c r="J26" i="4" l="1"/>
  <c r="K26" i="4"/>
  <c r="L26" i="4"/>
  <c r="A26" i="4"/>
  <c r="G25" i="4"/>
  <c r="E25" i="4"/>
  <c r="F25" i="4"/>
  <c r="D25" i="4"/>
  <c r="J25" i="4" l="1"/>
  <c r="K25" i="4"/>
  <c r="L25" i="4"/>
  <c r="A25" i="4"/>
  <c r="G24" i="4"/>
  <c r="F24" i="4"/>
  <c r="D24" i="4"/>
  <c r="E24" i="4"/>
  <c r="K24" i="4" l="1"/>
  <c r="J24" i="4"/>
  <c r="L24" i="4"/>
  <c r="A24" i="4"/>
  <c r="G23" i="4"/>
  <c r="E23" i="4"/>
  <c r="D23" i="4"/>
  <c r="F23" i="4"/>
  <c r="K23" i="4" l="1"/>
  <c r="J23" i="4"/>
  <c r="L23" i="4"/>
  <c r="A23" i="4"/>
  <c r="W22" i="4"/>
  <c r="G22" i="4"/>
  <c r="F22" i="4"/>
  <c r="Z22" i="4"/>
  <c r="X22" i="4"/>
  <c r="D22" i="4"/>
  <c r="Y22" i="4"/>
  <c r="E22" i="4"/>
  <c r="J22" i="4" l="1"/>
  <c r="K22" i="4"/>
  <c r="L22" i="4"/>
  <c r="A22" i="4"/>
  <c r="W21" i="4"/>
  <c r="G21" i="4"/>
  <c r="Z21" i="4"/>
  <c r="Y21" i="4"/>
  <c r="X21" i="4"/>
  <c r="D21" i="4"/>
  <c r="E21" i="4"/>
  <c r="F21" i="4"/>
  <c r="J21" i="4" l="1"/>
  <c r="K21" i="4"/>
  <c r="L21" i="4"/>
  <c r="A21" i="4"/>
  <c r="W20" i="4"/>
  <c r="G20" i="4"/>
  <c r="Z20" i="4"/>
  <c r="D20" i="4"/>
  <c r="X20" i="4"/>
  <c r="E20" i="4"/>
  <c r="F20" i="4"/>
  <c r="Y20" i="4"/>
  <c r="J20" i="4" l="1"/>
  <c r="K20" i="4"/>
  <c r="L20" i="4"/>
  <c r="A20" i="4"/>
  <c r="W19" i="4"/>
  <c r="G19" i="4"/>
  <c r="D19" i="4"/>
  <c r="F19" i="4"/>
  <c r="X19" i="4"/>
  <c r="Z19" i="4"/>
  <c r="E19" i="4"/>
  <c r="Y19" i="4"/>
  <c r="J19" i="4" l="1"/>
  <c r="K19" i="4"/>
  <c r="L19" i="4"/>
  <c r="A19" i="4"/>
  <c r="W18" i="4"/>
  <c r="G18" i="4"/>
  <c r="E18" i="4"/>
  <c r="Z18" i="4"/>
  <c r="Y18" i="4"/>
  <c r="F18" i="4"/>
  <c r="X18" i="4"/>
  <c r="D18" i="4"/>
  <c r="J18" i="4" l="1"/>
  <c r="K18" i="4"/>
  <c r="L18" i="4"/>
  <c r="A18" i="4"/>
  <c r="W17" i="4"/>
  <c r="G17" i="4"/>
  <c r="X17" i="4"/>
  <c r="F17" i="4"/>
  <c r="Y17" i="4"/>
  <c r="E17" i="4"/>
  <c r="D17" i="4"/>
  <c r="Z17" i="4"/>
  <c r="J17" i="4" l="1"/>
  <c r="K17" i="4"/>
  <c r="L17" i="4"/>
  <c r="A17" i="4"/>
  <c r="W16" i="4"/>
  <c r="G16" i="4"/>
  <c r="F16" i="4"/>
  <c r="Z16" i="4"/>
  <c r="E16" i="4"/>
  <c r="Y16" i="4"/>
  <c r="D16" i="4"/>
  <c r="X16" i="4"/>
  <c r="J16" i="4" l="1"/>
  <c r="K16" i="4"/>
  <c r="L16" i="4"/>
  <c r="A16" i="4"/>
  <c r="W15" i="4"/>
  <c r="G15" i="4"/>
  <c r="X15" i="4"/>
  <c r="D15" i="4"/>
  <c r="Z15" i="4"/>
  <c r="E15" i="4"/>
  <c r="Y15" i="4"/>
  <c r="F15" i="4"/>
  <c r="J15" i="4" l="1"/>
  <c r="L15" i="4"/>
  <c r="K15" i="4"/>
  <c r="A15" i="4"/>
  <c r="W14" i="4"/>
  <c r="G14" i="4"/>
  <c r="E14" i="4"/>
  <c r="F14" i="4"/>
  <c r="D14" i="4"/>
  <c r="Z14" i="4"/>
  <c r="X14" i="4"/>
  <c r="Y14" i="4"/>
  <c r="J14" i="4" l="1"/>
  <c r="K14" i="4"/>
  <c r="L14" i="4"/>
  <c r="A14" i="4"/>
  <c r="G13" i="4"/>
  <c r="F13" i="4"/>
  <c r="Y13" i="4"/>
  <c r="D13" i="4"/>
  <c r="Z13" i="4"/>
  <c r="E13" i="4"/>
  <c r="J13" i="4" l="1"/>
  <c r="K13" i="4"/>
  <c r="L13" i="4"/>
  <c r="A13" i="4"/>
  <c r="W12" i="4"/>
  <c r="G12" i="4"/>
  <c r="D12" i="4"/>
  <c r="Z12" i="4"/>
  <c r="Y12" i="4"/>
  <c r="F12" i="4"/>
  <c r="E12" i="4"/>
  <c r="X12" i="4"/>
  <c r="K12" i="4" l="1"/>
  <c r="J12" i="4"/>
  <c r="L12" i="4"/>
  <c r="A12" i="4"/>
  <c r="W11" i="4"/>
  <c r="G11" i="4"/>
  <c r="X11" i="4"/>
  <c r="E11" i="4"/>
  <c r="F11" i="4"/>
  <c r="Z11" i="4"/>
  <c r="D11" i="4"/>
  <c r="Y11" i="4"/>
  <c r="J11" i="4" l="1"/>
  <c r="K11" i="4"/>
  <c r="L11" i="4"/>
  <c r="A11" i="4"/>
  <c r="W10" i="4"/>
  <c r="G10" i="4"/>
  <c r="D10" i="4"/>
  <c r="Y10" i="4"/>
  <c r="Z10" i="4"/>
  <c r="E10" i="4"/>
  <c r="F10" i="4"/>
  <c r="X10" i="4"/>
  <c r="J10" i="4" l="1"/>
  <c r="K10" i="4"/>
  <c r="L10" i="4"/>
  <c r="A10" i="4"/>
  <c r="W9" i="4"/>
  <c r="G9" i="4"/>
  <c r="Z9" i="4"/>
  <c r="E9" i="4"/>
  <c r="X9" i="4"/>
  <c r="Y9" i="4"/>
  <c r="F9" i="4"/>
  <c r="D9" i="4"/>
  <c r="L9" i="4" l="1"/>
  <c r="J9" i="4"/>
  <c r="K9" i="4"/>
  <c r="A9" i="4"/>
  <c r="W8" i="4"/>
  <c r="G8" i="4"/>
  <c r="X8" i="4"/>
  <c r="Y8" i="4"/>
  <c r="Z8" i="4"/>
  <c r="F8" i="4"/>
  <c r="E8" i="4"/>
  <c r="D8" i="4"/>
  <c r="J8" i="4" l="1"/>
  <c r="K8" i="4"/>
  <c r="L8" i="4"/>
  <c r="A8" i="4"/>
  <c r="W7" i="4"/>
  <c r="G7" i="4"/>
  <c r="Y7" i="4"/>
  <c r="X7" i="4"/>
  <c r="F7" i="4"/>
  <c r="Z7" i="4"/>
  <c r="D7" i="4"/>
  <c r="E7" i="4"/>
  <c r="J7" i="4" l="1"/>
  <c r="K7" i="4"/>
  <c r="L7" i="4"/>
  <c r="A7" i="4"/>
  <c r="W6" i="4"/>
  <c r="G6" i="4"/>
  <c r="D6" i="4"/>
  <c r="F6" i="4"/>
  <c r="Z6" i="4"/>
  <c r="E6" i="4"/>
  <c r="X6" i="4"/>
  <c r="Y6" i="4"/>
  <c r="J6" i="4" l="1"/>
  <c r="K6" i="4"/>
  <c r="L6" i="4"/>
  <c r="A6" i="4"/>
  <c r="W5" i="4"/>
  <c r="Y5" i="4"/>
  <c r="D5" i="4"/>
  <c r="Z5" i="4"/>
  <c r="E5" i="4"/>
  <c r="X5" i="4"/>
  <c r="F5" i="4"/>
  <c r="K5" i="4" l="1"/>
  <c r="J5" i="4"/>
  <c r="L5" i="4"/>
  <c r="A5" i="4"/>
  <c r="W4" i="4"/>
  <c r="G3" i="4"/>
  <c r="X4" i="4"/>
  <c r="Y4" i="4"/>
  <c r="Z4" i="4"/>
  <c r="R8" i="2" l="1"/>
  <c r="T8" i="2"/>
  <c r="D4" i="1" s="1"/>
  <c r="S8" i="2"/>
  <c r="AG4" i="3"/>
  <c r="AG8" i="3" s="1"/>
  <c r="F8" i="1"/>
  <c r="E8" i="1"/>
  <c r="D8" i="1"/>
  <c r="Q42" i="1" l="1"/>
  <c r="Q3" i="16" s="1"/>
  <c r="S3" i="12"/>
  <c r="C36" i="1"/>
  <c r="G29" i="1"/>
  <c r="S20" i="1"/>
  <c r="G20" i="1"/>
  <c r="G3" i="12" s="1"/>
  <c r="S29" i="1"/>
  <c r="S3" i="14" s="1"/>
  <c r="Q36" i="1"/>
  <c r="Q3" i="15" s="1"/>
  <c r="C42" i="1"/>
  <c r="H13" i="1"/>
  <c r="J13" i="1"/>
  <c r="E9" i="1"/>
  <c r="AH8" i="3"/>
  <c r="F9" i="1" s="1"/>
  <c r="AI8" i="3"/>
  <c r="D9" i="1" s="1"/>
  <c r="G13" i="1" s="1"/>
  <c r="Z6" i="1"/>
  <c r="J20" i="1" l="1"/>
  <c r="J3" i="12" s="1"/>
  <c r="G3" i="14"/>
  <c r="J3" i="14" s="1"/>
  <c r="J29" i="1"/>
  <c r="C3" i="15"/>
  <c r="E36" i="1"/>
  <c r="C3" i="16"/>
  <c r="F42" i="1"/>
  <c r="H8" i="1"/>
  <c r="I8" i="1"/>
  <c r="Z5" i="1"/>
  <c r="K20" i="1" l="1"/>
  <c r="K3" i="12" s="1"/>
  <c r="E3" i="15"/>
  <c r="F36" i="1"/>
  <c r="F3" i="15" s="1"/>
  <c r="F3" i="16"/>
  <c r="J42" i="1"/>
  <c r="K13" i="1"/>
  <c r="C66" i="1"/>
  <c r="D66" i="1" s="1"/>
  <c r="I13" i="1"/>
  <c r="C65" i="1"/>
  <c r="D65" i="1" s="1"/>
  <c r="R4" i="1"/>
  <c r="S4" i="1"/>
  <c r="K42" i="1" l="1"/>
  <c r="K3" i="16" s="1"/>
  <c r="J3" i="16"/>
  <c r="K29" i="1"/>
  <c r="R3" i="1"/>
  <c r="P3" i="1"/>
  <c r="S3" i="1"/>
  <c r="K3" i="14" l="1"/>
  <c r="D3" i="1"/>
  <c r="J3" i="1" s="1"/>
  <c r="I29" i="1" l="1"/>
  <c r="L29" i="1" s="1"/>
  <c r="I36" i="1"/>
  <c r="P36" i="1"/>
  <c r="P29" i="1"/>
  <c r="C64" i="1"/>
  <c r="C73" i="1" s="1"/>
  <c r="E3" i="1"/>
  <c r="B13" i="1"/>
  <c r="I20" i="1" l="1"/>
  <c r="I42" i="1"/>
  <c r="P20" i="1"/>
  <c r="P42" i="1"/>
  <c r="P3" i="16" s="1"/>
  <c r="P3" i="15"/>
  <c r="I3" i="15"/>
  <c r="L36" i="1"/>
  <c r="I3" i="14"/>
  <c r="P3" i="14"/>
  <c r="E73" i="1"/>
  <c r="E74" i="1" s="1"/>
  <c r="C74" i="1"/>
  <c r="E65" i="1"/>
  <c r="E64" i="1"/>
  <c r="D64" i="1"/>
  <c r="C63" i="1"/>
  <c r="F13" i="1"/>
  <c r="D13" i="1"/>
  <c r="L42" i="1" l="1"/>
  <c r="L3" i="16" s="1"/>
  <c r="I3" i="16"/>
  <c r="L3" i="15"/>
  <c r="I3" i="12"/>
  <c r="P3" i="12"/>
  <c r="L20" i="1"/>
  <c r="B73" i="1"/>
  <c r="B74" i="1" s="1"/>
  <c r="E63" i="1"/>
  <c r="F73" i="1"/>
  <c r="F74" i="1" s="1"/>
  <c r="E66" i="1"/>
  <c r="D63" i="1"/>
  <c r="L3" i="12" l="1"/>
</calcChain>
</file>

<file path=xl/sharedStrings.xml><?xml version="1.0" encoding="utf-8"?>
<sst xmlns="http://schemas.openxmlformats.org/spreadsheetml/2006/main" count="1394" uniqueCount="694">
  <si>
    <t>ASK</t>
  </si>
  <si>
    <t>BID</t>
  </si>
  <si>
    <t>LAST_PRICE</t>
  </si>
  <si>
    <t>MSCI Singapore Free</t>
  </si>
  <si>
    <t>Date</t>
  </si>
  <si>
    <t>Index Name</t>
  </si>
  <si>
    <t>Closing Index Level</t>
  </si>
  <si>
    <t>Currency</t>
  </si>
  <si>
    <t>MSCI Code</t>
  </si>
  <si>
    <t>Number of Securities</t>
  </si>
  <si>
    <t>SINGAPORE FREE</t>
  </si>
  <si>
    <t>SGD</t>
  </si>
  <si>
    <t>870200</t>
  </si>
  <si>
    <t>Security Name</t>
  </si>
  <si>
    <t>Price</t>
  </si>
  <si>
    <t>Shares FIF Adjusted</t>
  </si>
  <si>
    <t>Weight%</t>
  </si>
  <si>
    <t>Price Adj. Factor</t>
  </si>
  <si>
    <t>Price Adj. Factor Description</t>
  </si>
  <si>
    <t>FX Rate</t>
  </si>
  <si>
    <t>Country</t>
  </si>
  <si>
    <t>Reuters Code (RIC)</t>
  </si>
  <si>
    <t>Currency Next Day</t>
  </si>
  <si>
    <t>1086501</t>
  </si>
  <si>
    <t>DBS GROUP HOLDINGS</t>
  </si>
  <si>
    <t>1.000000</t>
  </si>
  <si>
    <t>SG</t>
  </si>
  <si>
    <t>DBSM.SI</t>
  </si>
  <si>
    <t>1221601</t>
  </si>
  <si>
    <t>OCBC BANK</t>
  </si>
  <si>
    <t>OCBC.SI</t>
  </si>
  <si>
    <t>1312901</t>
  </si>
  <si>
    <t>UNITED OVERSEAS BANK</t>
  </si>
  <si>
    <t>UOBH.SI</t>
  </si>
  <si>
    <t>1653201</t>
  </si>
  <si>
    <t>SINGAPORE TELECOM</t>
  </si>
  <si>
    <t>STEL.SI</t>
  </si>
  <si>
    <t>3561701</t>
  </si>
  <si>
    <t>WILMAR INTERNATIONAL</t>
  </si>
  <si>
    <t>WLIL.SI</t>
  </si>
  <si>
    <t>2542601</t>
  </si>
  <si>
    <t>CAPITALAND INTEGRATED</t>
  </si>
  <si>
    <t>CMLT.SI</t>
  </si>
  <si>
    <t>2919301</t>
  </si>
  <si>
    <t>ASCENDAS REIT</t>
  </si>
  <si>
    <t>AEMN.SI</t>
  </si>
  <si>
    <t>2411501</t>
  </si>
  <si>
    <t>CAPITALAND</t>
  </si>
  <si>
    <t>CATL.SI</t>
  </si>
  <si>
    <t>2421701</t>
  </si>
  <si>
    <t>SINGAPORE EXCHANGE</t>
  </si>
  <si>
    <t>SGXL.SI</t>
  </si>
  <si>
    <t>1272101</t>
  </si>
  <si>
    <t>SINGAPORE AIRLINES</t>
  </si>
  <si>
    <t>SIAL.SI</t>
  </si>
  <si>
    <t>1162401</t>
  </si>
  <si>
    <t>KEPPEL CORP</t>
  </si>
  <si>
    <t>KPLM.SI</t>
  </si>
  <si>
    <t>2257401</t>
  </si>
  <si>
    <t>SINGAPORE TECH ENGR</t>
  </si>
  <si>
    <t>STEG.SI</t>
  </si>
  <si>
    <t>3363401</t>
  </si>
  <si>
    <t>GENTING SINGAPORE</t>
  </si>
  <si>
    <t>GENS.SI</t>
  </si>
  <si>
    <t>2213001</t>
  </si>
  <si>
    <t>VENTURE CORP</t>
  </si>
  <si>
    <t>VENM.SI</t>
  </si>
  <si>
    <t>3398101</t>
  </si>
  <si>
    <t>MAPLETREE LOGISTICS</t>
  </si>
  <si>
    <t>MAPL.SI</t>
  </si>
  <si>
    <t>6890001</t>
  </si>
  <si>
    <t>MAPLETREE COMM TRUST</t>
  </si>
  <si>
    <t>MACT.SI</t>
  </si>
  <si>
    <t>1313001</t>
  </si>
  <si>
    <t>UNITED OVERSEAS LAND</t>
  </si>
  <si>
    <t>UTOS.SI</t>
  </si>
  <si>
    <t>1064601</t>
  </si>
  <si>
    <t>CITY DEVELOPMENTS</t>
  </si>
  <si>
    <t>CTDM.SI</t>
  </si>
  <si>
    <t>3034701</t>
  </si>
  <si>
    <t>SUNTEC REIT</t>
  </si>
  <si>
    <t>SUNT.SI</t>
  </si>
  <si>
    <t>Sector Name</t>
  </si>
  <si>
    <t>Financials</t>
  </si>
  <si>
    <t>Real Estate</t>
  </si>
  <si>
    <t>Industrials</t>
  </si>
  <si>
    <t>Communication Services</t>
  </si>
  <si>
    <t>Consumer Staples</t>
  </si>
  <si>
    <t>Consumer Discretionary</t>
  </si>
  <si>
    <t>Information Technology</t>
  </si>
  <si>
    <t>Industry Group Name</t>
  </si>
  <si>
    <t>Banks</t>
  </si>
  <si>
    <t>Telecommunication Services</t>
  </si>
  <si>
    <t>Capital Goods</t>
  </si>
  <si>
    <t>Food Beverage &amp; Tobacco</t>
  </si>
  <si>
    <t>Diversified Financials</t>
  </si>
  <si>
    <t>Transportation</t>
  </si>
  <si>
    <t>Consumer Services</t>
  </si>
  <si>
    <t>Technology Hardware &amp; Equipment</t>
  </si>
  <si>
    <t xml:space="preserve">The RIC or Reuters Instrument Code set has been developed and is maintained by Reuters and is protected by intellectual property rights owned by Reuters. RICs are copy, database right and TM Reuters. MSCI uses RIC codes as instrument identifiers under licence from Reuters and RICS may not be copied, published or re-distributed without the prior written consent of Reuters.
The index and certain index related information is the property of MSCI Inc. and /or its subsidiaries (collectively, "MSCI"). It is provided for informational purposes only, and is not a recommendation to participate in any particular trading strategy. The information may not be used to verify or correct data, or any compilation of data or index or in the creation of any indexes. Nor may it be used in the creating, writing, offering, trading, marketing or promotion of any financial instruments or products. This information is provided on an "as is" basis. Although MSCI shall obtain information from sources which MSCI considers reliable, none of the MSCI, its subsidiaries or its or their direct or indirect information provider or any other third party involved in, or related to, compiling, computing or creating the information (collectively, the "MSCI Parties") guarantees the accuracy and/or the completeness of any of this information. None of the MSCI Parties makes any representation or warranty, express or implied, as to the results to be obtained by any person or entity from any use of this information, and the user of this information assumes the entire risk of any use made of this information. None of the MSCI Parties makes any express or implied warranties, and the MSCI Parties hereby expressly disclaim all warranties of merchantability or fitness for a particular purpose with respect to any of this information. Without limiting any of the foregoing, in no event shall any of the MSCI Parties have any liability for any direct, indirect, special, punitive, consequential or any other damages (including lost profits) even if notified of the possibility of such damages. MSCI, Barra, RiskMetrics and FEA, and all other service marks referred to herein are the exclusive property of MSCI and/or its subsidiaries. All MSCI indexes and data are the exclusive property of MSCI and may not be used in any way without the express written permission of MSCI.
</t>
  </si>
  <si>
    <t xml:space="preserve">Divisor </t>
  </si>
  <si>
    <t>TRADE_DATE</t>
  </si>
  <si>
    <t>STI</t>
  </si>
  <si>
    <t xml:space="preserve"> </t>
  </si>
  <si>
    <t>SPDR STRAITS TIMES INDEX ETF</t>
  </si>
  <si>
    <t>'STI</t>
  </si>
  <si>
    <t>INSTRUCTION_ASSET</t>
  </si>
  <si>
    <t>XTTF</t>
  </si>
  <si>
    <t>CREATION_UNIT_SIZE</t>
  </si>
  <si>
    <t>DOMICILE</t>
  </si>
  <si>
    <t>ESTIMATED_DIVIDENDS</t>
  </si>
  <si>
    <t>PRODUCT_STRUCTURE</t>
  </si>
  <si>
    <t>EST_INC</t>
  </si>
  <si>
    <t>SETTLEMENT_CYCLE</t>
  </si>
  <si>
    <t>T+2</t>
  </si>
  <si>
    <t>ASSET_CLASS</t>
  </si>
  <si>
    <t>ESTIMATED_EXPENSE</t>
  </si>
  <si>
    <t>CREATE_FEE</t>
  </si>
  <si>
    <t>ESTIMATED_CASH_COMPONENT</t>
  </si>
  <si>
    <t>NAV</t>
  </si>
  <si>
    <t>UNDISTRIBUTED_NET_INCOME_PER_SHARE</t>
  </si>
  <si>
    <t>BASKET_MARKET_VALUE</t>
  </si>
  <si>
    <t>REDEEM_FEE</t>
  </si>
  <si>
    <t>ACTUAL_CASH_COMPONENT</t>
  </si>
  <si>
    <t>NAV_PER_CREATION_UNIT</t>
  </si>
  <si>
    <t>UNDISTRIBUTED_NET_INCOME_PER_CREATION_UNIT</t>
  </si>
  <si>
    <t>BASKET_SHARES</t>
  </si>
  <si>
    <t>CREATE_VARIABLE_FEE</t>
  </si>
  <si>
    <t>NAV_LESS_UNDISTRIBUTED_NET_INCOME</t>
  </si>
  <si>
    <t>ACTUAL_CASH_IN_LIEU</t>
  </si>
  <si>
    <t>ESTIMATED_CASH_IN_LIEU</t>
  </si>
  <si>
    <t>REDEEM_VARIABLE_FEE</t>
  </si>
  <si>
    <t>ETF_SHARES_OUTSTANDING</t>
  </si>
  <si>
    <t>ACTUAL_INTEREST</t>
  </si>
  <si>
    <t>ESTIMATED_INTEREST</t>
  </si>
  <si>
    <t>EXPENSE_RATIO</t>
  </si>
  <si>
    <t>TOTAL_NET_ASSETS</t>
  </si>
  <si>
    <t>ACTUAL_TOTAL_CASH</t>
  </si>
  <si>
    <t>ESTIMATED_TOTAL_CASH</t>
  </si>
  <si>
    <t>THRESHOLD</t>
  </si>
  <si>
    <t>CUSIP</t>
  </si>
  <si>
    <t>TICKER</t>
  </si>
  <si>
    <t>SEDOL</t>
  </si>
  <si>
    <t>ISIN</t>
  </si>
  <si>
    <t>DESCRIPTION</t>
  </si>
  <si>
    <t>CUR</t>
  </si>
  <si>
    <t>ISO</t>
  </si>
  <si>
    <t>SHARES</t>
  </si>
  <si>
    <t>ORIGINAL_FACE</t>
  </si>
  <si>
    <t>INTEREST</t>
  </si>
  <si>
    <t>LOCAL_PRICE</t>
  </si>
  <si>
    <t>LOCAL_MV</t>
  </si>
  <si>
    <t>FOREX</t>
  </si>
  <si>
    <t>BASE_PRICE</t>
  </si>
  <si>
    <t>BASE_MV</t>
  </si>
  <si>
    <t>WEIGHT</t>
  </si>
  <si>
    <t>CIL</t>
  </si>
  <si>
    <t>EST_DIVIDEND</t>
  </si>
  <si>
    <t>LOT</t>
  </si>
  <si>
    <t>NEW</t>
  </si>
  <si>
    <t>SHARE_CHANGE</t>
  </si>
  <si>
    <t>INT_FACTOR</t>
  </si>
  <si>
    <t>PAR_ADJUSTMENT_FACTOR</t>
  </si>
  <si>
    <t>'604321901</t>
  </si>
  <si>
    <t>'STE</t>
  </si>
  <si>
    <t>'6043214</t>
  </si>
  <si>
    <t>SG1F60858221</t>
  </si>
  <si>
    <t>SINGAPORETECH ENGINEERING</t>
  </si>
  <si>
    <t>N</t>
  </si>
  <si>
    <t>'617520903</t>
  </si>
  <si>
    <t>'DBS</t>
  </si>
  <si>
    <t>'6175203</t>
  </si>
  <si>
    <t>SG1L01001701</t>
  </si>
  <si>
    <t>DBS GROUPHOLDINGS LTD</t>
  </si>
  <si>
    <t>'618027908</t>
  </si>
  <si>
    <t>'DFI</t>
  </si>
  <si>
    <t>'6180274</t>
  </si>
  <si>
    <t>BMG2624N1535</t>
  </si>
  <si>
    <t>DAIRY FARMINTL HLDGS LTD</t>
  </si>
  <si>
    <t>USD</t>
  </si>
  <si>
    <t>'619792005</t>
  </si>
  <si>
    <t>'CIT</t>
  </si>
  <si>
    <t>'6197928</t>
  </si>
  <si>
    <t>SG1R89002252</t>
  </si>
  <si>
    <t>CITY DEVELOPMENTS LTD</t>
  </si>
  <si>
    <t>'624226007</t>
  </si>
  <si>
    <t>'JCNC</t>
  </si>
  <si>
    <t>'6242260</t>
  </si>
  <si>
    <t>SG1B51001017</t>
  </si>
  <si>
    <t>JARDINE CYCLE + CARRIAGE LTD</t>
  </si>
  <si>
    <t>'624358909</t>
  </si>
  <si>
    <t>'SATS</t>
  </si>
  <si>
    <t>'6243586</t>
  </si>
  <si>
    <t>SG1I52882764</t>
  </si>
  <si>
    <t>SATS LTD</t>
  </si>
  <si>
    <t>'630386902</t>
  </si>
  <si>
    <t>'SGX</t>
  </si>
  <si>
    <t>'6303866</t>
  </si>
  <si>
    <t>SG1J26887955</t>
  </si>
  <si>
    <t>SINGAPOREEXCHANGE LTD</t>
  </si>
  <si>
    <t>'630930907</t>
  </si>
  <si>
    <t>'CAPL</t>
  </si>
  <si>
    <t>'6309303</t>
  </si>
  <si>
    <t>SG1J27887962</t>
  </si>
  <si>
    <t>'642012900</t>
  </si>
  <si>
    <t>'CICT</t>
  </si>
  <si>
    <t>'6420129</t>
  </si>
  <si>
    <t>SG1M51904654</t>
  </si>
  <si>
    <t>CAPITALANDINTEGRATED COMMER</t>
  </si>
  <si>
    <t>'643491905</t>
  </si>
  <si>
    <t>'HKL</t>
  </si>
  <si>
    <t>'6434915</t>
  </si>
  <si>
    <t>BMG4587L1090</t>
  </si>
  <si>
    <t>HONGKONG LAND HOLDINGS LTD</t>
  </si>
  <si>
    <t>'647211002</t>
  </si>
  <si>
    <t>'JM</t>
  </si>
  <si>
    <t>'6472119</t>
  </si>
  <si>
    <t>BMG507361001</t>
  </si>
  <si>
    <t>'647296904</t>
  </si>
  <si>
    <t>'JS</t>
  </si>
  <si>
    <t>'6472960</t>
  </si>
  <si>
    <t>BMG507641022</t>
  </si>
  <si>
    <t>JARDINE STRATEGIC HLDGS LTD</t>
  </si>
  <si>
    <t>'656387909</t>
  </si>
  <si>
    <t>'AREIT</t>
  </si>
  <si>
    <t>'6563875</t>
  </si>
  <si>
    <t>SG1M77906915</t>
  </si>
  <si>
    <t>ASCENDAS REAL ESTATE INV TRT</t>
  </si>
  <si>
    <t>'660373903</t>
  </si>
  <si>
    <t>'CD</t>
  </si>
  <si>
    <t>'6603737</t>
  </si>
  <si>
    <t>SG1N31909426</t>
  </si>
  <si>
    <t>COMFORTDELGRO CORP LTD</t>
  </si>
  <si>
    <t>'681173001</t>
  </si>
  <si>
    <t>'SIA</t>
  </si>
  <si>
    <t>'6811734</t>
  </si>
  <si>
    <t>SG1V61937297</t>
  </si>
  <si>
    <t>SINGAPOREAIRLINES LTD</t>
  </si>
  <si>
    <t>'691678007</t>
  </si>
  <si>
    <t>'UOB</t>
  </si>
  <si>
    <t>'6916781</t>
  </si>
  <si>
    <t>SG1M31001969</t>
  </si>
  <si>
    <t>UNITED OVERSEAS BANK LTD</t>
  </si>
  <si>
    <t>'691684005</t>
  </si>
  <si>
    <t>'UOL</t>
  </si>
  <si>
    <t>'6916844</t>
  </si>
  <si>
    <t>SG1S83002349</t>
  </si>
  <si>
    <t>UOL GROUPLTD</t>
  </si>
  <si>
    <t>'692737000</t>
  </si>
  <si>
    <t>'VMS</t>
  </si>
  <si>
    <t>'6927374</t>
  </si>
  <si>
    <t>SG0531000230</t>
  </si>
  <si>
    <t>VENTURE CORP LTD</t>
  </si>
  <si>
    <t>'933GHH903</t>
  </si>
  <si>
    <t>'GENS</t>
  </si>
  <si>
    <t>'BDRTVP2</t>
  </si>
  <si>
    <t>SGXE21576413</t>
  </si>
  <si>
    <t>GENTING SINGAPORE LTD</t>
  </si>
  <si>
    <t>'ACI009VU5</t>
  </si>
  <si>
    <t>'MINT</t>
  </si>
  <si>
    <t>'B4LR5Q8</t>
  </si>
  <si>
    <t>SG2C32962814</t>
  </si>
  <si>
    <t>MAPLETREEINDUSTRIAL TRUST</t>
  </si>
  <si>
    <t>'ACI00LNQ6</t>
  </si>
  <si>
    <t>'MCT</t>
  </si>
  <si>
    <t>'B5143W8</t>
  </si>
  <si>
    <t>SG2D18969584</t>
  </si>
  <si>
    <t>MAPLETREECOMMERCIAL TRUST</t>
  </si>
  <si>
    <t>'ACI0B5V31</t>
  </si>
  <si>
    <t>'KDCREIT</t>
  </si>
  <si>
    <t>'BT9Q186</t>
  </si>
  <si>
    <t>SG1AF6000009</t>
  </si>
  <si>
    <t>KEPPEL DCREIT</t>
  </si>
  <si>
    <t>'B02PY2901</t>
  </si>
  <si>
    <t>'ST</t>
  </si>
  <si>
    <t>'B02PY22</t>
  </si>
  <si>
    <t>SG1T75931496</t>
  </si>
  <si>
    <t>SINGAPORETELECOMMUNICATIONS</t>
  </si>
  <si>
    <t>'B08X16905</t>
  </si>
  <si>
    <t>'SCI</t>
  </si>
  <si>
    <t>'B08X163</t>
  </si>
  <si>
    <t>SG1R50925390</t>
  </si>
  <si>
    <t>SEMBCORP INDUSTRIES LTD</t>
  </si>
  <si>
    <t>'B0D6P4907</t>
  </si>
  <si>
    <t>'MLT</t>
  </si>
  <si>
    <t>'B0D6P43</t>
  </si>
  <si>
    <t>SG1S03926213</t>
  </si>
  <si>
    <t>MAPLETREELOGISTICS TRUST</t>
  </si>
  <si>
    <t>'B0F9V2906</t>
  </si>
  <si>
    <t>'OCBC</t>
  </si>
  <si>
    <t>'B0F9V20</t>
  </si>
  <si>
    <t>SG1S04926220</t>
  </si>
  <si>
    <t>'B15F66900</t>
  </si>
  <si>
    <t>'THBEV</t>
  </si>
  <si>
    <t>'B15F664</t>
  </si>
  <si>
    <t>TH0902010014</t>
  </si>
  <si>
    <t>THAI BEVERAGE PCL</t>
  </si>
  <si>
    <t>'B17KC6900</t>
  </si>
  <si>
    <t>'WIL</t>
  </si>
  <si>
    <t>'B17KC69</t>
  </si>
  <si>
    <t>SG1T56930848</t>
  </si>
  <si>
    <t>WILMAR INTERNATIONAL LTD</t>
  </si>
  <si>
    <t>'B1VQ5C905</t>
  </si>
  <si>
    <t>'KEP</t>
  </si>
  <si>
    <t>'B1VQ5C0</t>
  </si>
  <si>
    <t>SG1U68934629</t>
  </si>
  <si>
    <t>KEPPEL CORP LTD</t>
  </si>
  <si>
    <t>'B1VT03904</t>
  </si>
  <si>
    <t>'YZJSGD</t>
  </si>
  <si>
    <t>'B1VT035</t>
  </si>
  <si>
    <t>SG1U76934819</t>
  </si>
  <si>
    <t>YANGZIJIANG SHIPBUILDING</t>
  </si>
  <si>
    <t>Name Used in STI ETF PCF</t>
  </si>
  <si>
    <t>Name Used in SiMSCI Futures PCF</t>
  </si>
  <si>
    <t>Ticker from the PCF</t>
  </si>
  <si>
    <t xml:space="preserve">Name Format to get data from Bloomberg </t>
  </si>
  <si>
    <t>b</t>
  </si>
  <si>
    <t xml:space="preserve">a </t>
  </si>
  <si>
    <t xml:space="preserve">Using replace function to remove' </t>
  </si>
  <si>
    <t xml:space="preserve">Using replace function to remove the last three charatcter </t>
  </si>
  <si>
    <t>adddind SP equity</t>
  </si>
  <si>
    <t xml:space="preserve"> sp equity</t>
  </si>
  <si>
    <t>STE sp equity</t>
  </si>
  <si>
    <t>DBS sp equity</t>
  </si>
  <si>
    <t>DFI sp equity</t>
  </si>
  <si>
    <t>CIT sp equity</t>
  </si>
  <si>
    <t>JCNC sp equity</t>
  </si>
  <si>
    <t>SATS sp equity</t>
  </si>
  <si>
    <t>SGX sp equity</t>
  </si>
  <si>
    <t>CAPL sp equity</t>
  </si>
  <si>
    <t>CICT sp equity</t>
  </si>
  <si>
    <t>HKL sp equity</t>
  </si>
  <si>
    <t>JM sp equity</t>
  </si>
  <si>
    <t>JS sp equity</t>
  </si>
  <si>
    <t>AREIT sp equity</t>
  </si>
  <si>
    <t>CD sp equity</t>
  </si>
  <si>
    <t>SIA sp equity</t>
  </si>
  <si>
    <t>UOB sp equity</t>
  </si>
  <si>
    <t>UOL sp equity</t>
  </si>
  <si>
    <t>VMS sp equity</t>
  </si>
  <si>
    <t>GENS sp equity</t>
  </si>
  <si>
    <t>MINT sp equity</t>
  </si>
  <si>
    <t>MCT sp equity</t>
  </si>
  <si>
    <t>KDCREIT sp equity</t>
  </si>
  <si>
    <t>ST sp equity</t>
  </si>
  <si>
    <t>SCI sp equity</t>
  </si>
  <si>
    <t>MLT sp equity</t>
  </si>
  <si>
    <t>OCBC sp equity</t>
  </si>
  <si>
    <t>THBEV sp equity</t>
  </si>
  <si>
    <t>WIL sp equity</t>
  </si>
  <si>
    <t>KEP sp equity</t>
  </si>
  <si>
    <t>YZJSGD sp equity</t>
  </si>
  <si>
    <t>CIT</t>
  </si>
  <si>
    <t>CAPL</t>
  </si>
  <si>
    <t>CICT</t>
  </si>
  <si>
    <t>AREIT</t>
  </si>
  <si>
    <t>UOL</t>
  </si>
  <si>
    <t>VMS</t>
  </si>
  <si>
    <t>GENS</t>
  </si>
  <si>
    <t>MCT</t>
  </si>
  <si>
    <t>ST</t>
  </si>
  <si>
    <t>MLT</t>
  </si>
  <si>
    <t>OCBC</t>
  </si>
  <si>
    <t>WIL</t>
  </si>
  <si>
    <t>KEP</t>
  </si>
  <si>
    <t>Column1</t>
  </si>
  <si>
    <t>Column2</t>
  </si>
  <si>
    <t xml:space="preserve">ETF COMPONENTS </t>
  </si>
  <si>
    <t>SiMSCI</t>
  </si>
  <si>
    <t xml:space="preserve">Last </t>
  </si>
  <si>
    <t>Bid</t>
  </si>
  <si>
    <t>Ask</t>
  </si>
  <si>
    <t>No. of share</t>
  </si>
  <si>
    <t xml:space="preserve">Index Fair </t>
  </si>
  <si>
    <t xml:space="preserve">Devidend </t>
  </si>
  <si>
    <t xml:space="preserve">Amount </t>
  </si>
  <si>
    <t xml:space="preserve">Total cahs </t>
  </si>
  <si>
    <t xml:space="preserve">ETF Dividiend </t>
  </si>
  <si>
    <t>Components Diviend</t>
  </si>
  <si>
    <t>STTF SP Equity</t>
  </si>
  <si>
    <t>QZA Index</t>
  </si>
  <si>
    <t xml:space="preserve">SiMSCI Futures </t>
  </si>
  <si>
    <t>Fair INDEX</t>
  </si>
  <si>
    <t>(Last)SiMSCI INDEX</t>
  </si>
  <si>
    <t>BPS</t>
  </si>
  <si>
    <t>Expiry Date</t>
  </si>
  <si>
    <t xml:space="preserve">No. of days </t>
  </si>
  <si>
    <t>Short rate</t>
  </si>
  <si>
    <t>SGD SWAP OFFER</t>
  </si>
  <si>
    <t xml:space="preserve">Over Night </t>
  </si>
  <si>
    <t xml:space="preserve">1 Month </t>
  </si>
  <si>
    <t xml:space="preserve">3 Month </t>
  </si>
  <si>
    <t>sorf1d index</t>
  </si>
  <si>
    <t>SORF3M Index</t>
  </si>
  <si>
    <t>SORF6M Index</t>
  </si>
  <si>
    <t xml:space="preserve">STI ETF </t>
  </si>
  <si>
    <t>ETF NAV</t>
  </si>
  <si>
    <t>Last</t>
  </si>
  <si>
    <t xml:space="preserve">Bid </t>
  </si>
  <si>
    <t xml:space="preserve">Ask </t>
  </si>
  <si>
    <t xml:space="preserve">Bid size </t>
  </si>
  <si>
    <t xml:space="preserve">Ask size </t>
  </si>
  <si>
    <t>OVERSEA-CHINESE BANKING CORP L</t>
  </si>
  <si>
    <t xml:space="preserve">6 Month </t>
  </si>
  <si>
    <t>Dividend</t>
  </si>
  <si>
    <t>QZK1 Index</t>
  </si>
  <si>
    <t xml:space="preserve">MSCI Futures </t>
  </si>
  <si>
    <t>STI ETF</t>
  </si>
  <si>
    <t>SIMSCI Components</t>
  </si>
  <si>
    <t>Current Month Expiry Date</t>
  </si>
  <si>
    <t>=VLOOKUP(C4,SiMSCI!A:E,5,FALSE)*F4/SiMSCI!$L$2</t>
  </si>
  <si>
    <t>All Components</t>
  </si>
  <si>
    <t>ETFs</t>
  </si>
  <si>
    <t>GL Code</t>
  </si>
  <si>
    <t>GL Name</t>
  </si>
  <si>
    <t>Ex Div Date</t>
  </si>
  <si>
    <t>Dividend Amount</t>
  </si>
  <si>
    <t>Dividend Points</t>
  </si>
  <si>
    <t>Today's Point</t>
  </si>
  <si>
    <t>Current + Next Month</t>
  </si>
  <si>
    <t>Next Earning Date</t>
  </si>
  <si>
    <t>Dividend Amount (SGD)</t>
  </si>
  <si>
    <t>A17U.SI</t>
  </si>
  <si>
    <t>Ascendas Reit</t>
  </si>
  <si>
    <t>A17U</t>
  </si>
  <si>
    <t>ES3</t>
  </si>
  <si>
    <t>C31.SI</t>
  </si>
  <si>
    <t>CapitaLand</t>
  </si>
  <si>
    <t>C31</t>
  </si>
  <si>
    <t>M62</t>
  </si>
  <si>
    <t>CIMB-P S&amp;P ASIA DIVIDEND ETF</t>
  </si>
  <si>
    <t>C38U.SI</t>
  </si>
  <si>
    <t>CapLand IntCom T</t>
  </si>
  <si>
    <t>C38U</t>
  </si>
  <si>
    <t>P5P</t>
  </si>
  <si>
    <t>PRINCIPAL S&amp;P AP</t>
  </si>
  <si>
    <t>C09.SI</t>
  </si>
  <si>
    <t>CityDev</t>
  </si>
  <si>
    <t>C09</t>
  </si>
  <si>
    <t>JK8</t>
  </si>
  <si>
    <t>UETF SSE50 CHINA</t>
  </si>
  <si>
    <t>D05.SI</t>
  </si>
  <si>
    <t>DBS</t>
  </si>
  <si>
    <t>C52</t>
  </si>
  <si>
    <t>ComfortDelGro</t>
  </si>
  <si>
    <t>BYI</t>
  </si>
  <si>
    <t>PHI DIV REIT</t>
  </si>
  <si>
    <t>G13.SI</t>
  </si>
  <si>
    <t>Genting Sing</t>
  </si>
  <si>
    <t>D01</t>
  </si>
  <si>
    <t>DairyFarm USD</t>
  </si>
  <si>
    <t>HST</t>
  </si>
  <si>
    <t>LION-OCBC HSTECH</t>
  </si>
  <si>
    <t>NA</t>
  </si>
  <si>
    <t>BN4.SI</t>
  </si>
  <si>
    <t>Keppel Corp</t>
  </si>
  <si>
    <t>D05</t>
  </si>
  <si>
    <t>N2IU.SI</t>
  </si>
  <si>
    <t>Mapletree Com Tr</t>
  </si>
  <si>
    <t>Q5T</t>
  </si>
  <si>
    <t>Far East HTrust</t>
  </si>
  <si>
    <t>M44U.SI</t>
  </si>
  <si>
    <t>Mapletree Log Tr</t>
  </si>
  <si>
    <t>G13</t>
  </si>
  <si>
    <t>O39.SI</t>
  </si>
  <si>
    <t>OCBC Bank</t>
  </si>
  <si>
    <t>B16</t>
  </si>
  <si>
    <t>GL</t>
  </si>
  <si>
    <t>S68.SI</t>
  </si>
  <si>
    <t>SGX</t>
  </si>
  <si>
    <t>H02</t>
  </si>
  <si>
    <t>Haw Par</t>
  </si>
  <si>
    <t>C6L.SI</t>
  </si>
  <si>
    <t>SIA</t>
  </si>
  <si>
    <t>H13</t>
  </si>
  <si>
    <t>Ho Bee Land</t>
  </si>
  <si>
    <t>Z74.SI</t>
  </si>
  <si>
    <t>SingTel</t>
  </si>
  <si>
    <t>S41</t>
  </si>
  <si>
    <t>Hong Leong Fin</t>
  </si>
  <si>
    <t>S63.SI</t>
  </si>
  <si>
    <t>ST Engineering</t>
  </si>
  <si>
    <t>H78</t>
  </si>
  <si>
    <t>HongkongLand USD</t>
  </si>
  <si>
    <t>T82U.SI</t>
  </si>
  <si>
    <t>Suntec Reit</t>
  </si>
  <si>
    <t>C07</t>
  </si>
  <si>
    <t>Jardine C&amp;C</t>
  </si>
  <si>
    <t>U11.SI</t>
  </si>
  <si>
    <t>UOB</t>
  </si>
  <si>
    <t>J36</t>
  </si>
  <si>
    <t>JMH USD</t>
  </si>
  <si>
    <t>U14.SI</t>
  </si>
  <si>
    <t>J37</t>
  </si>
  <si>
    <t>JSH USD</t>
  </si>
  <si>
    <t>V03.SI</t>
  </si>
  <si>
    <t>Venture</t>
  </si>
  <si>
    <t>BN4</t>
  </si>
  <si>
    <t>F34.SI</t>
  </si>
  <si>
    <t>Wilmar Intl</t>
  </si>
  <si>
    <t>AJBU</t>
  </si>
  <si>
    <t>Keppel DC Reit</t>
  </si>
  <si>
    <t>Total</t>
  </si>
  <si>
    <t>K71U</t>
  </si>
  <si>
    <t>Keppel Reit</t>
  </si>
  <si>
    <t>N2IU</t>
  </si>
  <si>
    <t>ME8U</t>
  </si>
  <si>
    <t>Mapletree Ind Tr</t>
  </si>
  <si>
    <t>M44U</t>
  </si>
  <si>
    <t>CJLU</t>
  </si>
  <si>
    <t>NetLink NBN Tr</t>
  </si>
  <si>
    <t>Legend:</t>
  </si>
  <si>
    <t>STI Components</t>
  </si>
  <si>
    <t>=VLOOKUP(C29,'STI Futures'!A:E,5,FALSE)*F29/'STI Futures'!$L$2</t>
  </si>
  <si>
    <t>O39</t>
  </si>
  <si>
    <t>Confirmed</t>
  </si>
  <si>
    <t>C2PU</t>
  </si>
  <si>
    <t>ParkwayLife Reit</t>
  </si>
  <si>
    <t>Projected</t>
  </si>
  <si>
    <t>CRPU</t>
  </si>
  <si>
    <t>Sasseur Reit</t>
  </si>
  <si>
    <t>S58</t>
  </si>
  <si>
    <t>SATS</t>
  </si>
  <si>
    <t>S61</t>
  </si>
  <si>
    <t>SBS Transit</t>
  </si>
  <si>
    <t>U96</t>
  </si>
  <si>
    <t>Sembcorp Ind</t>
  </si>
  <si>
    <t>C52.SI</t>
  </si>
  <si>
    <t>S68</t>
  </si>
  <si>
    <t>D01.SI</t>
  </si>
  <si>
    <t>OV8</t>
  </si>
  <si>
    <t>Sheng Siong</t>
  </si>
  <si>
    <t>C6L</t>
  </si>
  <si>
    <t>S59</t>
  </si>
  <si>
    <t>SIA Engineering</t>
  </si>
  <si>
    <t>H78.SI</t>
  </si>
  <si>
    <t>Z74</t>
  </si>
  <si>
    <t>C07.SI</t>
  </si>
  <si>
    <t>SK6U</t>
  </si>
  <si>
    <t>SPHREIT</t>
  </si>
  <si>
    <t>J36.SI</t>
  </si>
  <si>
    <t>S63</t>
  </si>
  <si>
    <t>J37.SI</t>
  </si>
  <si>
    <t>CC3</t>
  </si>
  <si>
    <t>StarHub</t>
  </si>
  <si>
    <t>T82U</t>
  </si>
  <si>
    <t>AJBU.SI</t>
  </si>
  <si>
    <t>Y92</t>
  </si>
  <si>
    <t>ThaiBev</t>
  </si>
  <si>
    <t>U06</t>
  </si>
  <si>
    <t>UIC</t>
  </si>
  <si>
    <t>ME8U.SI</t>
  </si>
  <si>
    <t>U11</t>
  </si>
  <si>
    <t>U10</t>
  </si>
  <si>
    <t>UOB Kay Hian</t>
  </si>
  <si>
    <t>U14</t>
  </si>
  <si>
    <t>S58.SI</t>
  </si>
  <si>
    <t>V03</t>
  </si>
  <si>
    <t>U96.SI</t>
  </si>
  <si>
    <t>F34</t>
  </si>
  <si>
    <t>BS6</t>
  </si>
  <si>
    <t>YZJ Shipbldg SGD</t>
  </si>
  <si>
    <t>Y92.SI</t>
  </si>
  <si>
    <t>BS6.SI</t>
  </si>
  <si>
    <t xml:space="preserve">Currency </t>
  </si>
  <si>
    <t>PX_LAST</t>
  </si>
  <si>
    <t>SGD Curncy</t>
  </si>
  <si>
    <t>Exchange rate</t>
  </si>
  <si>
    <t xml:space="preserve">Local currency </t>
  </si>
  <si>
    <t xml:space="preserve">Fair Value </t>
  </si>
  <si>
    <t>Real Time Market Value</t>
  </si>
  <si>
    <t>Difference</t>
  </si>
  <si>
    <t xml:space="preserve">Decision Making </t>
  </si>
  <si>
    <t xml:space="preserve">Trading </t>
  </si>
  <si>
    <t xml:space="preserve">Decision </t>
  </si>
  <si>
    <t>Entry Decision</t>
  </si>
  <si>
    <t xml:space="preserve">SiMSCI Bid is at premium </t>
  </si>
  <si>
    <t>=if(Futures bid &gt; 0 , (future bid premium- ETF ASK)&gt;10 , Enter , no neter)</t>
  </si>
  <si>
    <t xml:space="preserve">SiMSCI Ask is at Discount </t>
  </si>
  <si>
    <t xml:space="preserve">STIETF Bid is at Premium </t>
  </si>
  <si>
    <t xml:space="preserve">STIETF ASK is at Discount </t>
  </si>
  <si>
    <t>Time</t>
  </si>
  <si>
    <t>STI ETF Ask</t>
  </si>
  <si>
    <t>19</t>
  </si>
  <si>
    <t>8.25</t>
  </si>
  <si>
    <t>2.29</t>
  </si>
  <si>
    <t>1.89</t>
  </si>
  <si>
    <t>1.51</t>
  </si>
  <si>
    <t xml:space="preserve">Time </t>
  </si>
  <si>
    <t xml:space="preserve">Data Recording </t>
  </si>
  <si>
    <t>SiMSCI Futures Bid</t>
  </si>
  <si>
    <t>SiMSCI Futures Ask</t>
  </si>
  <si>
    <t xml:space="preserve">STI ETF  Bid </t>
  </si>
  <si>
    <t>STI ETF Fair value</t>
  </si>
  <si>
    <t>SiMSCI Futures Fair value</t>
  </si>
  <si>
    <t>Ask Size</t>
  </si>
  <si>
    <t>Dollar Value</t>
  </si>
  <si>
    <t>SORF1m Index</t>
  </si>
  <si>
    <t>BID_SIZE_CR</t>
  </si>
  <si>
    <t>ASK_SIZE</t>
  </si>
  <si>
    <t>BID_SIZE</t>
  </si>
  <si>
    <t xml:space="preserve">Bid Size </t>
  </si>
  <si>
    <t xml:space="preserve">Trading Information - SiMISCI Bid at Premeium </t>
  </si>
  <si>
    <t xml:space="preserve">Entry decision </t>
  </si>
  <si>
    <t xml:space="preserve">SiMSCI Futures Bid Price </t>
  </si>
  <si>
    <t xml:space="preserve">STI ETF Ask Price </t>
  </si>
  <si>
    <t>SiMSCI Futures Bid Size</t>
  </si>
  <si>
    <t>STI ETF Ask Size</t>
  </si>
  <si>
    <t xml:space="preserve">Threashhold </t>
  </si>
  <si>
    <t>Expected profit(BPS)</t>
  </si>
  <si>
    <t>Number of contracts</t>
  </si>
  <si>
    <t xml:space="preserve">Number of contracts </t>
  </si>
  <si>
    <t xml:space="preserve">Dollar Value </t>
  </si>
  <si>
    <t xml:space="preserve">SiMSCI Futures Ask Price </t>
  </si>
  <si>
    <t>SiMSCI Futures Ask Size</t>
  </si>
  <si>
    <t xml:space="preserve">STI ETF Bid Price </t>
  </si>
  <si>
    <t>STI ETF Bid Size</t>
  </si>
  <si>
    <t>profit(BPS)</t>
  </si>
  <si>
    <t>Exit decision</t>
  </si>
  <si>
    <t xml:space="preserve">Entry Decision </t>
  </si>
  <si>
    <t xml:space="preserve">Exit Decision </t>
  </si>
  <si>
    <t xml:space="preserve">Trade </t>
  </si>
  <si>
    <t xml:space="preserve">=Futures (bid prci-ask price)* quantitiy + ETF (ask - bid) *quantity </t>
  </si>
  <si>
    <t>Status</t>
  </si>
  <si>
    <t xml:space="preserve">Amount of Capital </t>
  </si>
  <si>
    <t>selling '</t>
  </si>
  <si>
    <t xml:space="preserve">buying </t>
  </si>
  <si>
    <t xml:space="preserve">selling </t>
  </si>
  <si>
    <t>Total Capital</t>
  </si>
  <si>
    <t>Trading Information - SiMISCI Ask at Discount</t>
  </si>
  <si>
    <t>Trading Information - ETF Ask at Discount</t>
  </si>
  <si>
    <t>Trading Information - ETF Bid at Premium</t>
  </si>
  <si>
    <t>CAPITALANDLTD</t>
  </si>
  <si>
    <t>JARDINE MATHESON HOLDINGS LTD</t>
  </si>
  <si>
    <t>Closing Index Information as of Tuesday, April 6, 2021 STRD</t>
  </si>
  <si>
    <t>2021-04-06</t>
  </si>
  <si>
    <t>363.174</t>
  </si>
  <si>
    <t>Constituents and Weights for Tuesday, April 6, 2021</t>
  </si>
  <si>
    <t>29.30000</t>
  </si>
  <si>
    <t>1,796,284,457</t>
  </si>
  <si>
    <t>21.44</t>
  </si>
  <si>
    <t>11.88000</t>
  </si>
  <si>
    <t>3,357,070,600</t>
  </si>
  <si>
    <t>16.25</t>
  </si>
  <si>
    <t>26.08000</t>
  </si>
  <si>
    <t>1,178,741,101</t>
  </si>
  <si>
    <t>12.52</t>
  </si>
  <si>
    <t>2.48000</t>
  </si>
  <si>
    <t>8,164,579,150</t>
  </si>
  <si>
    <t>5.45000</t>
  </si>
  <si>
    <t>1,921,020,332</t>
  </si>
  <si>
    <t>4.26</t>
  </si>
  <si>
    <t>3.76000</t>
  </si>
  <si>
    <t>2,638,495,841</t>
  </si>
  <si>
    <t>4.04</t>
  </si>
  <si>
    <t>2.19000</t>
  </si>
  <si>
    <t>4,529,492,881</t>
  </si>
  <si>
    <t>3.07000</t>
  </si>
  <si>
    <t>3,214,849,721</t>
  </si>
  <si>
    <t>4.02</t>
  </si>
  <si>
    <t>5.48000</t>
  </si>
  <si>
    <t>1,456,446,214</t>
  </si>
  <si>
    <t>3.25</t>
  </si>
  <si>
    <t>9.93000</t>
  </si>
  <si>
    <t>803,731,800</t>
  </si>
  <si>
    <t>5.64000</t>
  </si>
  <si>
    <t>1,339,894,577</t>
  </si>
  <si>
    <t>3.08</t>
  </si>
  <si>
    <t>3.95000</t>
  </si>
  <si>
    <t>1,561,247,598</t>
  </si>
  <si>
    <t>2.51</t>
  </si>
  <si>
    <t>1.95000</t>
  </si>
  <si>
    <t>2,892,704,287</t>
  </si>
  <si>
    <t>2.30</t>
  </si>
  <si>
    <t>20.40000</t>
  </si>
  <si>
    <t>276,417,298</t>
  </si>
  <si>
    <t>0.93000</t>
  </si>
  <si>
    <t>6,047,013,412</t>
  </si>
  <si>
    <t>2.15000</t>
  </si>
  <si>
    <t>2,154,820,862</t>
  </si>
  <si>
    <t>8.17000</t>
  </si>
  <si>
    <t>454,650,500</t>
  </si>
  <si>
    <t>7.98000</t>
  </si>
  <si>
    <t>464,054,928</t>
  </si>
  <si>
    <t>1.60000</t>
  </si>
  <si>
    <t>1,977,706,058</t>
  </si>
  <si>
    <t>1.29</t>
  </si>
  <si>
    <t>Sector Weights for Tuesday, April 6, 2021</t>
  </si>
  <si>
    <t>53.46</t>
  </si>
  <si>
    <t>20.60</t>
  </si>
  <si>
    <t>8.84</t>
  </si>
  <si>
    <t>Industry Group Weights for Tuesday, April 6, 2021</t>
  </si>
  <si>
    <t>50.21</t>
  </si>
  <si>
    <t>5.76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</si>
</sst>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quot;$&quot;* #,##0.00_-;\-&quot;$&quot;* #,##0.00_-;_-&quot;$&quot;* &quot;-&quot;??_-;_-@_-"/>
    <numFmt numFmtId="165" formatCode="_-* #,##0.00_-;\-* #,##0.00_-;_-* &quot;-&quot;??_-;_-@_-"/>
    <numFmt numFmtId="166" formatCode="0.0000%"/>
    <numFmt numFmtId="167" formatCode="#,##0.000"/>
    <numFmt numFmtId="168" formatCode="#,##0.0000"/>
    <numFmt numFmtId="169" formatCode="[$-409]d\-mmm\-yy;@"/>
    <numFmt numFmtId="170" formatCode="#,##0.00000"/>
    <numFmt numFmtId="171" formatCode="[$-14809]d\ mmmm\,\ yyyy;@"/>
    <numFmt numFmtId="172" formatCode="0.00000"/>
    <numFmt numFmtId="173" formatCode="[$-F400]h:mm:ss\ AM/PM"/>
    <numFmt numFmtId="174" formatCode="0.00000%"/>
  </numFmts>
  <fonts count="13" x14ac:knownFonts="1">
    <font>
      <sz val="11"/>
      <color theme="1"/>
      <name val="Calibri"/>
      <family val="2"/>
      <scheme val="minor"/>
    </font>
    <font>
      <b/>
      <sz val="10"/>
      <name val="Arial"/>
      <family val="2"/>
    </font>
    <font>
      <sz val="11"/>
      <color theme="1"/>
      <name val="Calibri"/>
      <family val="2"/>
      <scheme val="minor"/>
    </font>
    <font>
      <sz val="11"/>
      <color rgb="FFFF0000"/>
      <name val="Calibri"/>
      <family val="2"/>
      <scheme val="minor"/>
    </font>
    <font>
      <b/>
      <sz val="10"/>
      <name val="Arial"/>
      <family val="2"/>
    </font>
    <font>
      <sz val="10"/>
      <name val="Arial"/>
      <family val="2"/>
    </font>
    <font>
      <sz val="11"/>
      <name val="Calibri"/>
      <family val="2"/>
    </font>
    <font>
      <sz val="11"/>
      <color indexed="8"/>
      <name val="Calibri"/>
      <family val="2"/>
    </font>
    <font>
      <b/>
      <sz val="11"/>
      <color indexed="8"/>
      <name val="Calibri"/>
      <family val="2"/>
    </font>
    <font>
      <sz val="11"/>
      <name val="Calibri"/>
      <family val="2"/>
      <scheme val="minor"/>
    </font>
    <font>
      <u/>
      <sz val="10"/>
      <name val="Arial"/>
      <family val="2"/>
    </font>
    <font>
      <b/>
      <sz val="11"/>
      <color indexed="9"/>
      <name val="Calibri"/>
      <family val="2"/>
    </font>
    <font>
      <b/>
      <sz val="11"/>
      <color theme="1"/>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indexed="44"/>
        <bgColor indexed="64"/>
      </patternFill>
    </fill>
    <fill>
      <patternFill patternType="solid">
        <fgColor rgb="FF92D05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4F81BD"/>
        <bgColor indexed="64"/>
      </patternFill>
    </fill>
    <fill>
      <patternFill patternType="solid">
        <fgColor theme="5" tint="0.39997558519241921"/>
        <bgColor indexed="64"/>
      </patternFill>
    </fill>
    <fill>
      <patternFill patternType="solid">
        <fgColor theme="9"/>
        <bgColor indexed="64"/>
      </patternFill>
    </fill>
    <fill>
      <patternFill patternType="solid">
        <fgColor rgb="FFFF5050"/>
        <bgColor indexed="64"/>
      </patternFill>
    </fill>
    <fill>
      <patternFill patternType="solid">
        <fgColor theme="0" tint="-0.249977111117893"/>
        <bgColor indexed="64"/>
      </patternFill>
    </fill>
    <fill>
      <patternFill patternType="solid">
        <fgColor theme="8" tint="0.39997558519241921"/>
        <bgColor indexed="64"/>
      </patternFill>
    </fill>
  </fills>
  <borders count="11">
    <border>
      <left/>
      <right/>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diagonal/>
    </border>
  </borders>
  <cellStyleXfs count="30">
    <xf numFmtId="0" fontId="0" fillId="0" borderId="0"/>
    <xf numFmtId="9" fontId="2" fillId="0" borderId="0" applyFont="0" applyFill="0" applyBorder="0" applyAlignment="0" applyProtection="0"/>
    <xf numFmtId="0" fontId="5" fillId="0" borderId="0"/>
    <xf numFmtId="0" fontId="5" fillId="0" borderId="0" applyNumberFormat="0" applyFont="0" applyFill="0" applyBorder="0" applyAlignment="0" applyProtection="0"/>
    <xf numFmtId="0" fontId="2" fillId="0" borderId="0"/>
    <xf numFmtId="0" fontId="5" fillId="0" borderId="0" applyNumberFormat="0" applyFont="0" applyFill="0" applyBorder="0" applyAlignment="0" applyProtection="0"/>
    <xf numFmtId="0" fontId="5" fillId="0" borderId="0"/>
    <xf numFmtId="0" fontId="5" fillId="0" borderId="0"/>
    <xf numFmtId="0" fontId="7" fillId="0" borderId="0"/>
    <xf numFmtId="0" fontId="7" fillId="0" borderId="0"/>
    <xf numFmtId="0" fontId="5" fillId="0" borderId="0" applyNumberFormat="0" applyFont="0" applyFill="0" applyBorder="0" applyAlignment="0" applyProtection="0"/>
    <xf numFmtId="0" fontId="5" fillId="0" borderId="0"/>
    <xf numFmtId="0" fontId="7" fillId="0" borderId="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0" fontId="11" fillId="12" borderId="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xf numFmtId="164" fontId="2" fillId="0" borderId="0" applyFont="0" applyFill="0" applyBorder="0" applyAlignment="0" applyProtection="0"/>
    <xf numFmtId="165" fontId="2" fillId="0" borderId="0" applyFont="0" applyFill="0" applyBorder="0" applyAlignment="0" applyProtection="0"/>
  </cellStyleXfs>
  <cellXfs count="168">
    <xf numFmtId="0" fontId="0" fillId="0" borderId="0" xfId="0"/>
    <xf numFmtId="0" fontId="0" fillId="0" borderId="0" xfId="0" applyNumberFormat="1" applyFont="1" applyFill="1" applyBorder="1" applyAlignment="1"/>
    <xf numFmtId="0" fontId="0" fillId="4" borderId="0" xfId="0" applyFill="1"/>
    <xf numFmtId="0" fontId="0" fillId="5" borderId="0" xfId="0" applyFill="1"/>
    <xf numFmtId="0" fontId="0" fillId="0" borderId="2" xfId="0" applyNumberFormat="1" applyFont="1" applyFill="1" applyBorder="1" applyAlignment="1"/>
    <xf numFmtId="0" fontId="0" fillId="6" borderId="2" xfId="0" applyNumberFormat="1" applyFont="1" applyFill="1" applyBorder="1" applyAlignment="1"/>
    <xf numFmtId="0" fontId="0" fillId="4" borderId="2" xfId="0" applyNumberFormat="1" applyFont="1" applyFill="1" applyBorder="1" applyAlignment="1"/>
    <xf numFmtId="0" fontId="0" fillId="2" borderId="0" xfId="0" applyNumberFormat="1" applyFont="1" applyFill="1" applyBorder="1" applyAlignment="1"/>
    <xf numFmtId="17" fontId="0" fillId="0" borderId="0" xfId="0" applyNumberFormat="1"/>
    <xf numFmtId="0" fontId="3" fillId="0" borderId="0" xfId="0" applyFont="1"/>
    <xf numFmtId="0" fontId="3" fillId="0" borderId="1" xfId="0" applyFont="1" applyBorder="1"/>
    <xf numFmtId="0" fontId="3" fillId="3" borderId="1" xfId="0" applyFont="1" applyFill="1" applyBorder="1"/>
    <xf numFmtId="15" fontId="3" fillId="0" borderId="0" xfId="0" applyNumberFormat="1" applyFont="1"/>
    <xf numFmtId="1" fontId="0" fillId="0" borderId="0" xfId="0" applyNumberFormat="1"/>
    <xf numFmtId="0" fontId="0" fillId="7" borderId="0" xfId="0" applyFill="1"/>
    <xf numFmtId="0" fontId="0" fillId="2" borderId="0" xfId="0" applyNumberFormat="1" applyFont="1" applyFill="1" applyBorder="1" applyAlignment="1"/>
    <xf numFmtId="0" fontId="4" fillId="0" borderId="0" xfId="0" applyNumberFormat="1" applyFont="1" applyFill="1" applyBorder="1" applyAlignment="1"/>
    <xf numFmtId="10" fontId="0" fillId="0" borderId="0" xfId="1" applyNumberFormat="1" applyFont="1"/>
    <xf numFmtId="166" fontId="0" fillId="0" borderId="0" xfId="1" applyNumberFormat="1" applyFont="1"/>
    <xf numFmtId="0" fontId="0" fillId="0" borderId="0" xfId="0"/>
    <xf numFmtId="0" fontId="5" fillId="0" borderId="0" xfId="0" applyFont="1"/>
    <xf numFmtId="0" fontId="8" fillId="8" borderId="2" xfId="9" applyFont="1" applyFill="1" applyBorder="1" applyAlignment="1">
      <alignment vertical="center" wrapText="1"/>
    </xf>
    <xf numFmtId="14" fontId="8" fillId="8" borderId="2" xfId="9" applyNumberFormat="1" applyFont="1" applyFill="1" applyBorder="1" applyAlignment="1">
      <alignment horizontal="center" vertical="center" wrapText="1"/>
    </xf>
    <xf numFmtId="0" fontId="8" fillId="8" borderId="2" xfId="9" applyFont="1" applyFill="1" applyBorder="1" applyAlignment="1">
      <alignment horizontal="center" vertical="center" wrapText="1"/>
    </xf>
    <xf numFmtId="0" fontId="1" fillId="8" borderId="2" xfId="2" applyFont="1" applyFill="1" applyBorder="1" applyAlignment="1">
      <alignment horizontal="center" wrapText="1"/>
    </xf>
    <xf numFmtId="0" fontId="1" fillId="8" borderId="2" xfId="2" applyFont="1" applyFill="1" applyBorder="1" applyAlignment="1">
      <alignment wrapText="1"/>
    </xf>
    <xf numFmtId="0" fontId="5" fillId="0" borderId="0" xfId="2" applyFill="1"/>
    <xf numFmtId="170" fontId="5" fillId="0" borderId="2" xfId="2" applyNumberFormat="1" applyFill="1" applyBorder="1" applyAlignment="1">
      <alignment horizontal="right"/>
    </xf>
    <xf numFmtId="170" fontId="5" fillId="0" borderId="2" xfId="2" applyNumberFormat="1" applyFont="1" applyFill="1" applyBorder="1" applyAlignment="1">
      <alignment horizontal="right"/>
    </xf>
    <xf numFmtId="170" fontId="0" fillId="0" borderId="2" xfId="10" applyNumberFormat="1" applyFont="1" applyFill="1" applyBorder="1" applyAlignment="1">
      <alignment horizontal="right"/>
    </xf>
    <xf numFmtId="170" fontId="1" fillId="7" borderId="2" xfId="2" applyNumberFormat="1" applyFont="1" applyFill="1" applyBorder="1" applyAlignment="1">
      <alignment horizontal="center" vertical="center"/>
    </xf>
    <xf numFmtId="170" fontId="1" fillId="9" borderId="2" xfId="2" applyNumberFormat="1" applyFont="1" applyFill="1" applyBorder="1" applyAlignment="1">
      <alignment horizontal="center" vertical="center"/>
    </xf>
    <xf numFmtId="0" fontId="5" fillId="0" borderId="0" xfId="2" applyFill="1" applyBorder="1"/>
    <xf numFmtId="170" fontId="7" fillId="0" borderId="0" xfId="9" applyNumberFormat="1" applyFill="1" applyBorder="1" applyAlignment="1">
      <alignment horizontal="center" vertical="center" wrapText="1"/>
    </xf>
    <xf numFmtId="170" fontId="1" fillId="8" borderId="2" xfId="2" applyNumberFormat="1" applyFont="1" applyFill="1" applyBorder="1" applyAlignment="1">
      <alignment horizontal="right"/>
    </xf>
    <xf numFmtId="169" fontId="7" fillId="0" borderId="0" xfId="9" applyNumberFormat="1" applyFill="1" applyBorder="1" applyAlignment="1">
      <alignment horizontal="center" vertical="center" wrapText="1"/>
    </xf>
    <xf numFmtId="170" fontId="1" fillId="0" borderId="0" xfId="2" applyNumberFormat="1" applyFont="1" applyFill="1" applyBorder="1" applyAlignment="1">
      <alignment horizontal="center" vertical="center"/>
    </xf>
    <xf numFmtId="0" fontId="8" fillId="8" borderId="3" xfId="9" applyFont="1" applyFill="1" applyBorder="1" applyAlignment="1">
      <alignment vertical="center" wrapText="1"/>
    </xf>
    <xf numFmtId="0" fontId="8" fillId="4" borderId="4" xfId="9" applyFont="1" applyFill="1" applyBorder="1" applyAlignment="1">
      <alignment horizontal="center" vertical="center" wrapText="1"/>
    </xf>
    <xf numFmtId="0" fontId="0" fillId="4" borderId="0" xfId="0" applyFill="1"/>
    <xf numFmtId="0" fontId="0" fillId="0" borderId="0" xfId="0" applyFill="1"/>
    <xf numFmtId="0" fontId="0" fillId="0" borderId="0" xfId="0" applyFill="1" applyAlignment="1">
      <alignment horizontal="center"/>
    </xf>
    <xf numFmtId="0" fontId="5" fillId="0" borderId="0" xfId="0" applyFont="1" applyAlignment="1" applyProtection="1">
      <alignment horizontal="center"/>
      <protection locked="0"/>
    </xf>
    <xf numFmtId="0" fontId="5" fillId="0" borderId="0" xfId="0" applyFont="1" applyFill="1" applyBorder="1" applyProtection="1">
      <protection locked="0"/>
    </xf>
    <xf numFmtId="0" fontId="5" fillId="0" borderId="0" xfId="2"/>
    <xf numFmtId="0" fontId="0" fillId="11" borderId="0" xfId="0" applyFill="1" applyAlignment="1">
      <alignment horizontal="center" vertical="center" wrapText="1"/>
    </xf>
    <xf numFmtId="171" fontId="0" fillId="11" borderId="0" xfId="0" applyNumberFormat="1" applyFill="1" applyAlignment="1">
      <alignment vertical="center"/>
    </xf>
    <xf numFmtId="170" fontId="5" fillId="0" borderId="0" xfId="0" applyNumberFormat="1" applyFont="1" applyProtection="1">
      <protection locked="0"/>
    </xf>
    <xf numFmtId="0" fontId="7" fillId="0" borderId="2" xfId="9" applyBorder="1" applyAlignment="1">
      <alignment vertical="center"/>
    </xf>
    <xf numFmtId="15" fontId="0" fillId="0" borderId="0" xfId="0" applyNumberFormat="1" applyFill="1" applyBorder="1" applyAlignment="1">
      <alignment horizontal="center"/>
    </xf>
    <xf numFmtId="170" fontId="0" fillId="0" borderId="0" xfId="0" applyNumberFormat="1" applyFill="1" applyBorder="1" applyAlignment="1">
      <alignment horizontal="center"/>
    </xf>
    <xf numFmtId="0" fontId="5" fillId="0" borderId="0" xfId="0" applyFont="1" applyFill="1" applyBorder="1"/>
    <xf numFmtId="0" fontId="7" fillId="0" borderId="0" xfId="9" applyFill="1" applyBorder="1" applyAlignment="1">
      <alignment vertical="center"/>
    </xf>
    <xf numFmtId="0" fontId="0" fillId="0" borderId="2" xfId="0" applyBorder="1"/>
    <xf numFmtId="169" fontId="6" fillId="9" borderId="2" xfId="9" applyNumberFormat="1" applyFont="1" applyFill="1" applyBorder="1" applyAlignment="1">
      <alignment horizontal="center" vertical="center" wrapText="1"/>
    </xf>
    <xf numFmtId="0" fontId="8" fillId="0" borderId="2" xfId="9" applyFont="1" applyBorder="1" applyAlignment="1">
      <alignment vertical="center"/>
    </xf>
    <xf numFmtId="0" fontId="1" fillId="0" borderId="2" xfId="2" applyFont="1" applyBorder="1"/>
    <xf numFmtId="170" fontId="1" fillId="0" borderId="2" xfId="2" applyNumberFormat="1" applyFont="1" applyBorder="1"/>
    <xf numFmtId="170" fontId="1" fillId="0" borderId="2" xfId="2" applyNumberFormat="1" applyFont="1" applyBorder="1" applyAlignment="1">
      <alignment horizontal="right"/>
    </xf>
    <xf numFmtId="0" fontId="5" fillId="0" borderId="2" xfId="2" applyBorder="1"/>
    <xf numFmtId="15" fontId="0" fillId="0" borderId="2" xfId="0" applyNumberFormat="1" applyFill="1" applyBorder="1" applyAlignment="1">
      <alignment horizontal="center"/>
    </xf>
    <xf numFmtId="170" fontId="7" fillId="0" borderId="2" xfId="9" applyNumberFormat="1" applyFill="1" applyBorder="1" applyAlignment="1">
      <alignment horizontal="center" vertical="center" wrapText="1"/>
    </xf>
    <xf numFmtId="170" fontId="0" fillId="0" borderId="2" xfId="0" applyNumberFormat="1" applyFill="1" applyBorder="1" applyAlignment="1">
      <alignment horizontal="center"/>
    </xf>
    <xf numFmtId="15" fontId="0" fillId="0" borderId="0" xfId="0" applyNumberFormat="1" applyBorder="1" applyAlignment="1">
      <alignment horizontal="center"/>
    </xf>
    <xf numFmtId="169" fontId="7" fillId="0" borderId="2" xfId="9" applyNumberFormat="1" applyFill="1" applyBorder="1" applyAlignment="1">
      <alignment horizontal="center" vertical="center" wrapText="1"/>
    </xf>
    <xf numFmtId="170" fontId="7" fillId="0" borderId="0" xfId="9" applyNumberFormat="1" applyBorder="1" applyAlignment="1">
      <alignment horizontal="center" vertical="center" wrapText="1"/>
    </xf>
    <xf numFmtId="170" fontId="0" fillId="0" borderId="0" xfId="0" applyNumberFormat="1" applyBorder="1" applyAlignment="1">
      <alignment horizontal="center"/>
    </xf>
    <xf numFmtId="0" fontId="7" fillId="0" borderId="2" xfId="9" applyFill="1" applyBorder="1" applyAlignment="1">
      <alignment vertical="center"/>
    </xf>
    <xf numFmtId="0" fontId="0" fillId="0" borderId="0" xfId="0" applyBorder="1"/>
    <xf numFmtId="0" fontId="0" fillId="0" borderId="0" xfId="0" applyFill="1" applyBorder="1"/>
    <xf numFmtId="0" fontId="0" fillId="0" borderId="2" xfId="0" applyFill="1" applyBorder="1"/>
    <xf numFmtId="0" fontId="5" fillId="0" borderId="0" xfId="2" applyFill="1" applyAlignment="1">
      <alignment horizontal="center" wrapText="1"/>
    </xf>
    <xf numFmtId="0" fontId="5" fillId="0" borderId="0" xfId="2" applyFill="1" applyBorder="1" applyAlignment="1">
      <alignment horizontal="center"/>
    </xf>
    <xf numFmtId="0" fontId="1" fillId="0" borderId="0" xfId="2" applyFont="1" applyFill="1" applyBorder="1" applyAlignment="1">
      <alignment horizontal="center"/>
    </xf>
    <xf numFmtId="169" fontId="6" fillId="0" borderId="2" xfId="9" applyNumberFormat="1" applyFont="1" applyFill="1" applyBorder="1" applyAlignment="1">
      <alignment horizontal="center" vertical="center" wrapText="1"/>
    </xf>
    <xf numFmtId="169" fontId="7" fillId="0" borderId="6" xfId="9" applyNumberFormat="1" applyFill="1" applyBorder="1" applyAlignment="1">
      <alignment horizontal="center" vertical="center" wrapText="1"/>
    </xf>
    <xf numFmtId="170" fontId="9" fillId="0" borderId="2" xfId="10" applyNumberFormat="1" applyFont="1" applyFill="1" applyBorder="1" applyAlignment="1">
      <alignment horizontal="right"/>
    </xf>
    <xf numFmtId="170" fontId="0" fillId="0" borderId="0" xfId="0" applyNumberFormat="1"/>
    <xf numFmtId="15" fontId="0" fillId="0" borderId="2" xfId="0" applyNumberFormat="1" applyBorder="1" applyAlignment="1">
      <alignment horizontal="center"/>
    </xf>
    <xf numFmtId="170" fontId="0" fillId="0" borderId="2" xfId="0" applyNumberFormat="1" applyBorder="1" applyAlignment="1">
      <alignment horizontal="center"/>
    </xf>
    <xf numFmtId="0" fontId="0" fillId="0" borderId="0" xfId="0" quotePrefix="1"/>
    <xf numFmtId="172" fontId="1" fillId="0" borderId="0" xfId="0" applyNumberFormat="1" applyFont="1" applyFill="1" applyBorder="1" applyProtection="1">
      <protection locked="0"/>
    </xf>
    <xf numFmtId="0" fontId="5" fillId="0" borderId="0" xfId="0" applyFont="1" applyAlignment="1" applyProtection="1">
      <alignment horizontal="left"/>
      <protection locked="0"/>
    </xf>
    <xf numFmtId="10" fontId="0" fillId="0" borderId="0" xfId="1" applyNumberFormat="1" applyFont="1"/>
    <xf numFmtId="2" fontId="5" fillId="0" borderId="0" xfId="0" applyNumberFormat="1" applyFont="1"/>
    <xf numFmtId="0" fontId="8" fillId="4" borderId="5" xfId="9" applyFont="1" applyFill="1" applyBorder="1" applyAlignment="1">
      <alignment horizontal="center" vertical="center" wrapText="1"/>
    </xf>
    <xf numFmtId="167" fontId="5" fillId="0" borderId="0" xfId="0" applyNumberFormat="1" applyFont="1" applyProtection="1">
      <protection locked="0"/>
    </xf>
    <xf numFmtId="0" fontId="5" fillId="0" borderId="0" xfId="0" applyFont="1" applyBorder="1"/>
    <xf numFmtId="0" fontId="10" fillId="0" borderId="0" xfId="0" applyFont="1" applyFill="1" applyBorder="1" applyProtection="1">
      <protection locked="0"/>
    </xf>
    <xf numFmtId="0" fontId="0" fillId="0" borderId="9" xfId="0" applyBorder="1"/>
    <xf numFmtId="0" fontId="0" fillId="0" borderId="10" xfId="0" applyBorder="1"/>
    <xf numFmtId="15" fontId="0" fillId="0" borderId="10" xfId="0" applyNumberFormat="1" applyBorder="1" applyAlignment="1">
      <alignment horizontal="center"/>
    </xf>
    <xf numFmtId="170" fontId="0" fillId="0" borderId="10" xfId="0" applyNumberFormat="1" applyBorder="1" applyAlignment="1">
      <alignment horizontal="center"/>
    </xf>
    <xf numFmtId="168" fontId="7" fillId="0" borderId="0" xfId="9" applyNumberFormat="1" applyFill="1" applyBorder="1" applyAlignment="1">
      <alignment horizontal="center" vertical="center" wrapText="1"/>
    </xf>
    <xf numFmtId="15" fontId="0" fillId="9" borderId="2" xfId="0" applyNumberFormat="1" applyFill="1" applyBorder="1" applyAlignment="1">
      <alignment horizontal="center"/>
    </xf>
    <xf numFmtId="172" fontId="0" fillId="0" borderId="0" xfId="0" applyNumberFormat="1" applyFill="1" applyAlignment="1">
      <alignment horizontal="center"/>
    </xf>
    <xf numFmtId="172" fontId="5" fillId="0" borderId="0" xfId="2" applyNumberFormat="1" applyFill="1" applyBorder="1" applyAlignment="1">
      <alignment horizontal="center"/>
    </xf>
    <xf numFmtId="172" fontId="7" fillId="0" borderId="0" xfId="9" applyNumberFormat="1" applyFill="1" applyBorder="1" applyAlignment="1">
      <alignment horizontal="center" vertical="center" wrapText="1"/>
    </xf>
    <xf numFmtId="172" fontId="5" fillId="0" borderId="0" xfId="2" applyNumberFormat="1" applyFont="1" applyFill="1" applyBorder="1" applyAlignment="1">
      <alignment horizontal="center"/>
    </xf>
    <xf numFmtId="15" fontId="0" fillId="0" borderId="6" xfId="0" applyNumberFormat="1" applyFill="1" applyBorder="1" applyAlignment="1">
      <alignment horizontal="center"/>
    </xf>
    <xf numFmtId="15" fontId="0" fillId="0" borderId="7" xfId="0" applyNumberFormat="1" applyFill="1" applyBorder="1" applyAlignment="1">
      <alignment horizontal="center"/>
    </xf>
    <xf numFmtId="170" fontId="0" fillId="0" borderId="8" xfId="0" applyNumberFormat="1" applyFill="1" applyBorder="1" applyAlignment="1">
      <alignment horizontal="center"/>
    </xf>
    <xf numFmtId="0" fontId="8" fillId="0" borderId="3" xfId="9" applyFont="1" applyBorder="1" applyAlignment="1">
      <alignment vertical="center"/>
    </xf>
    <xf numFmtId="0" fontId="1" fillId="0" borderId="3" xfId="2" applyFont="1" applyBorder="1"/>
    <xf numFmtId="0" fontId="0" fillId="0" borderId="3" xfId="0" applyBorder="1"/>
    <xf numFmtId="170" fontId="1" fillId="8" borderId="3" xfId="2" applyNumberFormat="1" applyFont="1" applyFill="1" applyBorder="1" applyAlignment="1">
      <alignment horizontal="right"/>
    </xf>
    <xf numFmtId="0" fontId="8" fillId="0" borderId="0" xfId="9" applyFont="1" applyBorder="1" applyAlignment="1">
      <alignment vertical="center"/>
    </xf>
    <xf numFmtId="0" fontId="1" fillId="0" borderId="0" xfId="2" applyFont="1" applyBorder="1"/>
    <xf numFmtId="170" fontId="1" fillId="0" borderId="0" xfId="2" applyNumberFormat="1" applyFont="1" applyBorder="1"/>
    <xf numFmtId="170" fontId="1" fillId="0" borderId="0" xfId="2" applyNumberFormat="1" applyFont="1" applyBorder="1" applyAlignment="1">
      <alignment horizontal="right"/>
    </xf>
    <xf numFmtId="167" fontId="0" fillId="0" borderId="0" xfId="0" applyNumberFormat="1" applyBorder="1"/>
    <xf numFmtId="170" fontId="1" fillId="0" borderId="0" xfId="2" applyNumberFormat="1" applyFont="1" applyFill="1" applyBorder="1" applyAlignment="1">
      <alignment horizontal="right"/>
    </xf>
    <xf numFmtId="9" fontId="0" fillId="0" borderId="0" xfId="1" applyFont="1"/>
    <xf numFmtId="169" fontId="7" fillId="4" borderId="2" xfId="9" applyNumberFormat="1" applyFill="1" applyBorder="1" applyAlignment="1">
      <alignment horizontal="center" vertical="center" wrapText="1"/>
    </xf>
    <xf numFmtId="170" fontId="7" fillId="4" borderId="2" xfId="9" applyNumberFormat="1" applyFill="1" applyBorder="1" applyAlignment="1">
      <alignment horizontal="center" vertical="center" wrapText="1"/>
    </xf>
    <xf numFmtId="169" fontId="6" fillId="4" borderId="2" xfId="9" applyNumberFormat="1" applyFont="1" applyFill="1" applyBorder="1" applyAlignment="1">
      <alignment horizontal="center" vertical="center" wrapText="1"/>
    </xf>
    <xf numFmtId="170" fontId="7" fillId="9" borderId="2" xfId="9" applyNumberFormat="1" applyFill="1" applyBorder="1" applyAlignment="1">
      <alignment horizontal="center" vertical="center" wrapText="1"/>
    </xf>
    <xf numFmtId="170" fontId="0" fillId="9" borderId="2" xfId="0" applyNumberFormat="1" applyFill="1" applyBorder="1" applyAlignment="1">
      <alignment horizontal="center"/>
    </xf>
    <xf numFmtId="169" fontId="7" fillId="0" borderId="2" xfId="9" applyNumberFormat="1" applyBorder="1" applyAlignment="1">
      <alignment horizontal="center" vertical="center" wrapText="1"/>
    </xf>
    <xf numFmtId="170" fontId="7" fillId="0" borderId="2" xfId="9" applyNumberFormat="1" applyBorder="1" applyAlignment="1">
      <alignment horizontal="center" vertical="center" wrapText="1"/>
    </xf>
    <xf numFmtId="0" fontId="7" fillId="0" borderId="2" xfId="9" applyBorder="1"/>
    <xf numFmtId="15" fontId="0" fillId="9" borderId="6" xfId="0" applyNumberFormat="1" applyFill="1" applyBorder="1" applyAlignment="1">
      <alignment horizontal="center"/>
    </xf>
    <xf numFmtId="170" fontId="0" fillId="9" borderId="8" xfId="0" applyNumberFormat="1" applyFill="1" applyBorder="1" applyAlignment="1">
      <alignment horizontal="center"/>
    </xf>
    <xf numFmtId="169" fontId="7" fillId="9" borderId="6" xfId="9" applyNumberFormat="1" applyFill="1" applyBorder="1" applyAlignment="1">
      <alignment horizontal="center" vertical="center" wrapText="1"/>
    </xf>
    <xf numFmtId="0" fontId="0" fillId="0" borderId="2" xfId="0" applyNumberFormat="1" applyBorder="1"/>
    <xf numFmtId="16" fontId="0" fillId="0" borderId="2" xfId="0" applyNumberFormat="1" applyBorder="1"/>
    <xf numFmtId="169" fontId="7" fillId="9" borderId="2" xfId="9" applyNumberFormat="1" applyFill="1" applyBorder="1" applyAlignment="1">
      <alignment horizontal="center" vertical="center" wrapText="1"/>
    </xf>
    <xf numFmtId="0" fontId="0" fillId="9" borderId="2" xfId="0" applyFill="1" applyBorder="1"/>
    <xf numFmtId="170" fontId="9" fillId="0" borderId="2" xfId="0" applyNumberFormat="1" applyFont="1" applyFill="1" applyBorder="1" applyAlignment="1">
      <alignment horizontal="center"/>
    </xf>
    <xf numFmtId="49" fontId="0" fillId="0" borderId="0" xfId="0" applyNumberFormat="1" applyFill="1" applyBorder="1" applyAlignment="1">
      <alignment horizontal="center"/>
    </xf>
    <xf numFmtId="14" fontId="1" fillId="0" borderId="5" xfId="2" applyNumberFormat="1" applyFont="1" applyFill="1" applyBorder="1" applyAlignment="1">
      <alignment horizontal="center" vertical="center"/>
    </xf>
    <xf numFmtId="0" fontId="0" fillId="10" borderId="0" xfId="0" applyFill="1"/>
    <xf numFmtId="0" fontId="0" fillId="13" borderId="2" xfId="0" applyFill="1" applyBorder="1"/>
    <xf numFmtId="0" fontId="0" fillId="9" borderId="0" xfId="0" applyFill="1"/>
    <xf numFmtId="0" fontId="0" fillId="14" borderId="2" xfId="0" applyFill="1" applyBorder="1"/>
    <xf numFmtId="17" fontId="0" fillId="14" borderId="2" xfId="0" applyNumberFormat="1" applyFill="1" applyBorder="1"/>
    <xf numFmtId="0" fontId="0" fillId="4" borderId="2" xfId="0" applyFill="1" applyBorder="1"/>
    <xf numFmtId="0" fontId="0" fillId="10" borderId="2" xfId="0" applyFill="1" applyBorder="1"/>
    <xf numFmtId="0" fontId="0" fillId="15" borderId="2" xfId="0" applyFill="1" applyBorder="1"/>
    <xf numFmtId="0" fontId="0" fillId="15" borderId="0" xfId="0" applyFill="1"/>
    <xf numFmtId="0" fontId="0" fillId="13" borderId="0" xfId="0" applyFill="1"/>
    <xf numFmtId="0" fontId="0" fillId="0" borderId="0" xfId="0" quotePrefix="1" applyAlignment="1">
      <alignment wrapText="1"/>
    </xf>
    <xf numFmtId="0" fontId="12" fillId="0" borderId="0" xfId="0" applyFont="1"/>
    <xf numFmtId="0" fontId="0" fillId="0" borderId="0" xfId="0" applyNumberFormat="1" applyFont="1" applyFill="1" applyBorder="1" applyAlignment="1">
      <alignment vertical="top" wrapText="1"/>
    </xf>
    <xf numFmtId="0" fontId="0" fillId="2" borderId="0" xfId="0" applyNumberFormat="1" applyFont="1" applyFill="1" applyBorder="1" applyAlignment="1"/>
    <xf numFmtId="2" fontId="0" fillId="0" borderId="0" xfId="0" applyNumberFormat="1" applyFont="1" applyFill="1" applyBorder="1" applyAlignment="1"/>
    <xf numFmtId="3" fontId="0" fillId="0" borderId="0" xfId="0" applyNumberFormat="1"/>
    <xf numFmtId="3" fontId="0" fillId="0" borderId="0" xfId="0" applyNumberFormat="1" applyFill="1"/>
    <xf numFmtId="0" fontId="0" fillId="0" borderId="0" xfId="0" applyAlignment="1">
      <alignment horizontal="center" vertical="center"/>
    </xf>
    <xf numFmtId="0" fontId="0" fillId="13" borderId="0" xfId="0" applyFill="1" applyAlignment="1">
      <alignment horizontal="center"/>
    </xf>
    <xf numFmtId="0" fontId="0" fillId="0" borderId="0" xfId="0" applyAlignment="1"/>
    <xf numFmtId="0" fontId="0" fillId="14" borderId="3" xfId="0" applyFill="1" applyBorder="1"/>
    <xf numFmtId="0" fontId="0" fillId="14" borderId="0" xfId="0" applyFill="1"/>
    <xf numFmtId="173" fontId="0" fillId="0" borderId="0" xfId="0" applyNumberFormat="1"/>
    <xf numFmtId="0" fontId="0" fillId="0" borderId="0" xfId="0" applyNumberFormat="1"/>
    <xf numFmtId="0" fontId="0" fillId="5" borderId="0" xfId="0" applyFill="1" applyAlignment="1"/>
    <xf numFmtId="0" fontId="0" fillId="16" borderId="0" xfId="0" applyFill="1"/>
    <xf numFmtId="174" fontId="0" fillId="0" borderId="0" xfId="1" applyNumberFormat="1" applyFont="1"/>
    <xf numFmtId="173" fontId="0" fillId="13" borderId="0" xfId="0" applyNumberFormat="1" applyFill="1"/>
    <xf numFmtId="173" fontId="0" fillId="16" borderId="0" xfId="0" applyNumberFormat="1" applyFill="1"/>
    <xf numFmtId="2" fontId="0" fillId="0" borderId="0" xfId="0" applyNumberFormat="1"/>
    <xf numFmtId="2" fontId="0" fillId="4" borderId="0" xfId="0" applyNumberFormat="1" applyFill="1"/>
    <xf numFmtId="0" fontId="0" fillId="17" borderId="0" xfId="0" applyFill="1"/>
    <xf numFmtId="0" fontId="0" fillId="4" borderId="0" xfId="0" applyNumberFormat="1" applyFill="1"/>
    <xf numFmtId="0" fontId="0" fillId="0" borderId="0" xfId="0" applyAlignment="1">
      <alignment horizontal="center"/>
    </xf>
    <xf numFmtId="0" fontId="0" fillId="13" borderId="2" xfId="0" applyFill="1" applyBorder="1" applyAlignment="1">
      <alignment horizontal="center"/>
    </xf>
    <xf numFmtId="0" fontId="3" fillId="0" borderId="0" xfId="0" applyFont="1" applyAlignment="1">
      <alignment horizontal="center"/>
    </xf>
    <xf numFmtId="0" fontId="0" fillId="0" borderId="2" xfId="0" applyBorder="1" applyAlignment="1">
      <alignment horizontal="center"/>
    </xf>
  </cellXfs>
  <cellStyles count="30">
    <cellStyle name="_x000a_bidires=100_x000d_" xfId="7" xr:uid="{00000000-0005-0000-0000-000000000000}"/>
    <cellStyle name="blp_column_header" xfId="17" xr:uid="{00000000-0005-0000-0000-000001000000}"/>
    <cellStyle name="Comma 2" xfId="14" xr:uid="{00000000-0005-0000-0000-000002000000}"/>
    <cellStyle name="Comma 2 2" xfId="16" xr:uid="{00000000-0005-0000-0000-000003000000}"/>
    <cellStyle name="Comma 2 2 2" xfId="21" xr:uid="{00000000-0005-0000-0000-000004000000}"/>
    <cellStyle name="Comma 2 2 2 2" xfId="29" xr:uid="{00000000-0005-0000-0000-000005000000}"/>
    <cellStyle name="Comma 2 2 3" xfId="25" xr:uid="{00000000-0005-0000-0000-000006000000}"/>
    <cellStyle name="Comma 2 3" xfId="19" xr:uid="{00000000-0005-0000-0000-000007000000}"/>
    <cellStyle name="Comma 2 3 2" xfId="27" xr:uid="{00000000-0005-0000-0000-000008000000}"/>
    <cellStyle name="Comma 2 4" xfId="23" xr:uid="{00000000-0005-0000-0000-000009000000}"/>
    <cellStyle name="Currency 2" xfId="13" xr:uid="{00000000-0005-0000-0000-00000A000000}"/>
    <cellStyle name="Currency 2 2" xfId="15" xr:uid="{00000000-0005-0000-0000-00000B000000}"/>
    <cellStyle name="Currency 2 2 2" xfId="20" xr:uid="{00000000-0005-0000-0000-00000C000000}"/>
    <cellStyle name="Currency 2 2 2 2" xfId="28" xr:uid="{00000000-0005-0000-0000-00000D000000}"/>
    <cellStyle name="Currency 2 2 3" xfId="24" xr:uid="{00000000-0005-0000-0000-00000E000000}"/>
    <cellStyle name="Currency 2 3" xfId="18" xr:uid="{00000000-0005-0000-0000-00000F000000}"/>
    <cellStyle name="Currency 2 3 2" xfId="26" xr:uid="{00000000-0005-0000-0000-000010000000}"/>
    <cellStyle name="Currency 2 4" xfId="22" xr:uid="{00000000-0005-0000-0000-000011000000}"/>
    <cellStyle name="Normal" xfId="0" builtinId="0"/>
    <cellStyle name="Normal 11" xfId="12" xr:uid="{00000000-0005-0000-0000-000013000000}"/>
    <cellStyle name="Normal 2" xfId="3" xr:uid="{00000000-0005-0000-0000-000014000000}"/>
    <cellStyle name="Normal 26" xfId="2" xr:uid="{00000000-0005-0000-0000-000015000000}"/>
    <cellStyle name="Normal 3" xfId="6" xr:uid="{00000000-0005-0000-0000-000016000000}"/>
    <cellStyle name="Normal 3 2" xfId="11" xr:uid="{00000000-0005-0000-0000-000017000000}"/>
    <cellStyle name="Normal 4" xfId="5" xr:uid="{00000000-0005-0000-0000-000018000000}"/>
    <cellStyle name="Normal 8" xfId="4" xr:uid="{00000000-0005-0000-0000-000019000000}"/>
    <cellStyle name="Normal 9" xfId="8" xr:uid="{00000000-0005-0000-0000-00001A000000}"/>
    <cellStyle name="Normal 9 2" xfId="10" xr:uid="{00000000-0005-0000-0000-00001B000000}"/>
    <cellStyle name="Normal_Sheet2" xfId="9" xr:uid="{00000000-0005-0000-0000-00001C000000}"/>
    <cellStyle name="Percent" xfId="1" builtinId="5"/>
  </cellStyles>
  <dxfs count="1">
    <dxf>
      <numFmt numFmtId="0" formatCode="Genera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1240972</xdr:colOff>
      <xdr:row>42</xdr:row>
      <xdr:rowOff>0</xdr:rowOff>
    </xdr:from>
    <xdr:to>
      <xdr:col>7</xdr:col>
      <xdr:colOff>381000</xdr:colOff>
      <xdr:row>47</xdr:row>
      <xdr:rowOff>141514</xdr:rowOff>
    </xdr:to>
    <xdr:sp macro="[0]!UpdateSTIETF" textlink="">
      <xdr:nvSpPr>
        <xdr:cNvPr id="2" name="TextBox 1">
          <a:extLst>
            <a:ext uri="{FF2B5EF4-FFF2-40B4-BE49-F238E27FC236}">
              <a16:creationId xmlns:a16="http://schemas.microsoft.com/office/drawing/2014/main" id="{00000000-0008-0000-0200-000002000000}"/>
            </a:ext>
          </a:extLst>
        </xdr:cNvPr>
        <xdr:cNvSpPr txBox="1"/>
      </xdr:nvSpPr>
      <xdr:spPr>
        <a:xfrm>
          <a:off x="8969829" y="7772400"/>
          <a:ext cx="4005942" cy="106680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600"/>
            <a:t>Update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892628</xdr:colOff>
      <xdr:row>34</xdr:row>
      <xdr:rowOff>76200</xdr:rowOff>
    </xdr:from>
    <xdr:to>
      <xdr:col>7</xdr:col>
      <xdr:colOff>1012371</xdr:colOff>
      <xdr:row>38</xdr:row>
      <xdr:rowOff>108858</xdr:rowOff>
    </xdr:to>
    <xdr:sp macro="[0]!UpdateSIMSCI" textlink="">
      <xdr:nvSpPr>
        <xdr:cNvPr id="2" name="TextBox 1">
          <a:extLst>
            <a:ext uri="{FF2B5EF4-FFF2-40B4-BE49-F238E27FC236}">
              <a16:creationId xmlns:a16="http://schemas.microsoft.com/office/drawing/2014/main" id="{00000000-0008-0000-0300-000002000000}"/>
            </a:ext>
          </a:extLst>
        </xdr:cNvPr>
        <xdr:cNvSpPr txBox="1"/>
      </xdr:nvSpPr>
      <xdr:spPr>
        <a:xfrm>
          <a:off x="9590314" y="6368143"/>
          <a:ext cx="2939143" cy="772886"/>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a:t>Update Data</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F31" totalsRowShown="0">
  <autoFilter ref="A1:F31" xr:uid="{00000000-0009-0000-0100-000002000000}"/>
  <sortState xmlns:xlrd2="http://schemas.microsoft.com/office/spreadsheetml/2017/richdata2" ref="A2:F31">
    <sortCondition ref="C1:C31"/>
  </sortState>
  <tableColumns count="6">
    <tableColumn id="1" xr3:uid="{00000000-0010-0000-0000-000001000000}" name="Name Used in STI ETF PCF">
      <calculatedColumnFormula>'STI ETF '!E10</calculatedColumnFormula>
    </tableColumn>
    <tableColumn id="2" xr3:uid="{00000000-0010-0000-0000-000002000000}" name="Ticker from the PCF">
      <calculatedColumnFormula>'STI ETF '!B10</calculatedColumnFormula>
    </tableColumn>
    <tableColumn id="3" xr3:uid="{00000000-0010-0000-0000-000003000000}" name="Using replace function to remove' ">
      <calculatedColumnFormula>REPLACE(B2,1,1,"")</calculatedColumnFormula>
    </tableColumn>
    <tableColumn id="4" xr3:uid="{00000000-0010-0000-0000-000004000000}" name="Column1"/>
    <tableColumn id="5" xr3:uid="{00000000-0010-0000-0000-000005000000}" name="adddind SP equity">
      <calculatedColumnFormula>C2&amp; D2</calculatedColumnFormula>
    </tableColumn>
    <tableColumn id="6" xr3:uid="{00000000-0010-0000-0000-000006000000}" name="Column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G1:J30" totalsRowShown="0">
  <autoFilter ref="G1:J30" xr:uid="{00000000-0009-0000-0100-000003000000}"/>
  <sortState xmlns:xlrd2="http://schemas.microsoft.com/office/spreadsheetml/2017/richdata2" ref="G2:I21">
    <sortCondition ref="I1:I21"/>
  </sortState>
  <tableColumns count="4">
    <tableColumn id="1" xr3:uid="{00000000-0010-0000-0100-000001000000}" name="Name Used in SiMSCI Futures PCF"/>
    <tableColumn id="2" xr3:uid="{00000000-0010-0000-0100-000002000000}" name="Ticker from the PCF"/>
    <tableColumn id="3" xr3:uid="{00000000-0010-0000-0100-000003000000}" name="Using replace function to remove the last three charatcter "/>
    <tableColumn id="4" xr3:uid="{00000000-0010-0000-0100-000004000000}" name="Column1" dataDxfId="0">
      <calculatedColumnFormula>IF(I2=C2,Table2[[#This Row],[adddind SP equity]],"")</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74"/>
  <sheetViews>
    <sheetView zoomScale="70" zoomScaleNormal="70" workbookViewId="0">
      <selection activeCell="A13" sqref="A13:K13"/>
    </sheetView>
  </sheetViews>
  <sheetFormatPr defaultRowHeight="14.4" x14ac:dyDescent="0.3"/>
  <cols>
    <col min="1" max="1" width="43.6640625" customWidth="1"/>
    <col min="2" max="2" width="28.33203125" customWidth="1"/>
    <col min="3" max="3" width="25.5546875" customWidth="1"/>
    <col min="4" max="4" width="32.109375" bestFit="1" customWidth="1"/>
    <col min="5" max="5" width="23.109375" customWidth="1"/>
    <col min="6" max="6" width="22.5546875" customWidth="1"/>
    <col min="7" max="7" width="29.109375" customWidth="1"/>
    <col min="8" max="8" width="23" bestFit="1" customWidth="1"/>
    <col min="9" max="9" width="18.5546875" bestFit="1" customWidth="1"/>
    <col min="10" max="10" width="20.33203125" bestFit="1" customWidth="1"/>
    <col min="11" max="12" width="12.44140625" customWidth="1"/>
    <col min="14" max="14" width="14.109375" bestFit="1" customWidth="1"/>
    <col min="15" max="15" width="24" bestFit="1" customWidth="1"/>
    <col min="16" max="16" width="14.6640625" bestFit="1" customWidth="1"/>
    <col min="17" max="17" width="24.109375" bestFit="1" customWidth="1"/>
    <col min="18" max="18" width="23" bestFit="1" customWidth="1"/>
    <col min="19" max="19" width="24" bestFit="1" customWidth="1"/>
    <col min="20" max="20" width="16.44140625" bestFit="1" customWidth="1"/>
    <col min="21" max="21" width="15.33203125" bestFit="1" customWidth="1"/>
    <col min="22" max="22" width="48.109375" customWidth="1"/>
    <col min="23" max="23" width="16.5546875" customWidth="1"/>
    <col min="24" max="24" width="11" bestFit="1" customWidth="1"/>
    <col min="25" max="25" width="33.6640625" customWidth="1"/>
  </cols>
  <sheetData>
    <row r="1" spans="1:26" x14ac:dyDescent="0.3">
      <c r="A1" s="139" t="s">
        <v>569</v>
      </c>
      <c r="B1" s="134" t="s">
        <v>570</v>
      </c>
      <c r="C1" s="39" t="s">
        <v>571</v>
      </c>
      <c r="D1" s="131" t="s">
        <v>572</v>
      </c>
      <c r="E1" s="80"/>
      <c r="Y1" s="19" t="s">
        <v>565</v>
      </c>
    </row>
    <row r="2" spans="1:26" x14ac:dyDescent="0.3">
      <c r="B2" s="132" t="s">
        <v>404</v>
      </c>
      <c r="C2" s="132" t="s">
        <v>381</v>
      </c>
      <c r="D2" s="132" t="s">
        <v>382</v>
      </c>
      <c r="E2" s="132" t="s">
        <v>384</v>
      </c>
      <c r="F2" s="132" t="s">
        <v>601</v>
      </c>
      <c r="G2" s="132" t="s">
        <v>370</v>
      </c>
      <c r="H2" s="132" t="s">
        <v>371</v>
      </c>
      <c r="I2" s="132" t="s">
        <v>595</v>
      </c>
      <c r="J2" s="132" t="s">
        <v>384</v>
      </c>
      <c r="K2" s="132" t="s">
        <v>369</v>
      </c>
      <c r="L2" s="132"/>
      <c r="M2" s="132"/>
      <c r="P2" t="s">
        <v>381</v>
      </c>
      <c r="Q2" t="s">
        <v>385</v>
      </c>
      <c r="R2" t="s">
        <v>386</v>
      </c>
      <c r="S2" t="s">
        <v>387</v>
      </c>
      <c r="X2" s="166" t="s">
        <v>388</v>
      </c>
      <c r="Y2" s="166"/>
      <c r="Z2" s="9"/>
    </row>
    <row r="3" spans="1:26" x14ac:dyDescent="0.3">
      <c r="B3" s="53">
        <f>'Dividend '!H22</f>
        <v>1.4036169315947662</v>
      </c>
      <c r="C3" s="135">
        <v>44287</v>
      </c>
      <c r="D3" s="138" t="e">
        <f ca="1">($D$4-B3)*(1+R3/360*S3)</f>
        <v>#NAME?</v>
      </c>
      <c r="E3" s="136" t="e">
        <f ca="1">(G3-$D$3)/$D$3*10000</f>
        <v>#NAME?</v>
      </c>
      <c r="F3" s="152" t="e">
        <f ca="1">'Live Price'!AA36</f>
        <v>#NAME?</v>
      </c>
      <c r="G3" s="151" t="e">
        <f ca="1">'Live Price'!X36</f>
        <v>#NAME?</v>
      </c>
      <c r="H3" s="151" t="e">
        <f ca="1">'Live Price'!Y36</f>
        <v>#NAME?</v>
      </c>
      <c r="I3" s="152" t="e">
        <f ca="1">'Live Price'!AB36</f>
        <v>#NAME?</v>
      </c>
      <c r="J3" s="136" t="e">
        <f ca="1">(H3-D3)/D3*10000</f>
        <v>#NAME?</v>
      </c>
      <c r="K3" s="134" t="e">
        <f ca="1">'Live Price'!Z36</f>
        <v>#NAME?</v>
      </c>
      <c r="L3" s="53"/>
      <c r="M3" s="53"/>
      <c r="P3" s="8">
        <f>C3</f>
        <v>44287</v>
      </c>
      <c r="Q3" s="12">
        <v>44316</v>
      </c>
      <c r="R3" s="13">
        <f ca="1">Q3-TODAY()</f>
        <v>23</v>
      </c>
      <c r="S3" s="18" t="e">
        <f ca="1">ShortRate(Z3:Z6,R3)</f>
        <v>#VALUE!</v>
      </c>
      <c r="W3" t="s">
        <v>392</v>
      </c>
      <c r="X3" s="9" t="s">
        <v>389</v>
      </c>
      <c r="Y3" t="e">
        <f ca="1">_xll.BDP($W3,Y$1)</f>
        <v>#NAME?</v>
      </c>
      <c r="Z3" s="17" t="e">
        <f ca="1">Y3/100</f>
        <v>#NAME?</v>
      </c>
    </row>
    <row r="4" spans="1:26" x14ac:dyDescent="0.3">
      <c r="B4" s="165" t="s">
        <v>383</v>
      </c>
      <c r="C4" s="165"/>
      <c r="D4" s="138" t="e">
        <f ca="1">'SiMSCI '!T8</f>
        <v>#NAME?</v>
      </c>
      <c r="E4" s="53"/>
      <c r="G4" s="53"/>
      <c r="H4" s="53"/>
      <c r="J4" s="53"/>
      <c r="K4" s="53"/>
      <c r="L4" s="53"/>
      <c r="M4" s="53"/>
      <c r="P4" s="8">
        <v>44337</v>
      </c>
      <c r="Q4" s="12">
        <v>44347</v>
      </c>
      <c r="R4" s="13">
        <f ca="1">Q4-TODAY()</f>
        <v>54</v>
      </c>
      <c r="S4" s="18" t="e">
        <f ca="1">ShortRate(Z3:Z6,R4)</f>
        <v>#VALUE!</v>
      </c>
      <c r="W4" t="s">
        <v>597</v>
      </c>
      <c r="X4" s="9" t="s">
        <v>390</v>
      </c>
      <c r="Y4" s="19" t="e">
        <f ca="1">_xll.BDP($W4,Y$1)</f>
        <v>#NAME?</v>
      </c>
      <c r="Z4" s="17" t="e">
        <f ca="1">Y4/100</f>
        <v>#NAME?</v>
      </c>
    </row>
    <row r="5" spans="1:26" x14ac:dyDescent="0.3">
      <c r="B5" s="68"/>
      <c r="C5" s="68"/>
      <c r="D5" s="68"/>
      <c r="E5" s="68"/>
      <c r="F5" s="68"/>
      <c r="G5" s="68"/>
      <c r="H5" s="68"/>
      <c r="I5" s="68"/>
      <c r="J5" s="68"/>
      <c r="K5" s="68"/>
      <c r="L5" s="68"/>
      <c r="W5" t="s">
        <v>393</v>
      </c>
      <c r="X5" s="9" t="s">
        <v>391</v>
      </c>
      <c r="Y5" s="19" t="e">
        <f ca="1">_xll.BDP($W5,Y$1)</f>
        <v>#NAME?</v>
      </c>
      <c r="Z5" s="17" t="e">
        <f ca="1">Y5/100</f>
        <v>#NAME?</v>
      </c>
    </row>
    <row r="6" spans="1:26" x14ac:dyDescent="0.3">
      <c r="C6" s="53"/>
      <c r="D6" s="53"/>
      <c r="E6" s="53"/>
      <c r="F6" s="53"/>
      <c r="G6" s="53"/>
      <c r="H6" s="53"/>
      <c r="I6" s="53"/>
      <c r="J6" s="53"/>
      <c r="K6" s="167"/>
      <c r="L6" s="167"/>
      <c r="W6" t="s">
        <v>394</v>
      </c>
      <c r="X6" s="9" t="s">
        <v>403</v>
      </c>
      <c r="Y6" s="19" t="e">
        <f ca="1">_xll.BDP($W6,Y$1)</f>
        <v>#NAME?</v>
      </c>
      <c r="Z6" s="17" t="e">
        <f ca="1">Y6/100</f>
        <v>#NAME?</v>
      </c>
    </row>
    <row r="7" spans="1:26" x14ac:dyDescent="0.3">
      <c r="C7" s="53"/>
      <c r="D7" s="53" t="s">
        <v>397</v>
      </c>
      <c r="E7" s="53" t="s">
        <v>398</v>
      </c>
      <c r="F7" s="53" t="s">
        <v>399</v>
      </c>
      <c r="G7" s="53" t="s">
        <v>400</v>
      </c>
      <c r="H7" s="53" t="s">
        <v>370</v>
      </c>
      <c r="I7" s="53" t="s">
        <v>399</v>
      </c>
      <c r="J7" s="53" t="s">
        <v>401</v>
      </c>
      <c r="K7" s="53"/>
      <c r="L7" s="53"/>
    </row>
    <row r="8" spans="1:26" x14ac:dyDescent="0.3">
      <c r="C8" s="134" t="s">
        <v>395</v>
      </c>
      <c r="D8" s="134" t="e">
        <f ca="1">'Live Price'!Z35</f>
        <v>#NAME?</v>
      </c>
      <c r="E8" s="134" t="e">
        <f ca="1">'Live Price'!X35</f>
        <v>#NAME?</v>
      </c>
      <c r="F8" s="134" t="e">
        <f ca="1">'Live Price'!Y35</f>
        <v>#NAME?</v>
      </c>
      <c r="G8" s="53" t="e">
        <f ca="1">'Live Price'!AA35</f>
        <v>#NAME?</v>
      </c>
      <c r="H8" s="136" t="e">
        <f ca="1">(E8-$D$9)/$D$9*10000</f>
        <v>#NAME?</v>
      </c>
      <c r="I8" s="136" t="e">
        <f ca="1">(F8-$D$9)/$D$9*10000</f>
        <v>#NAME?</v>
      </c>
      <c r="J8" s="53" t="e">
        <f ca="1">'Live Price'!AB35</f>
        <v>#NAME?</v>
      </c>
      <c r="K8" s="137"/>
      <c r="L8" s="137"/>
    </row>
    <row r="9" spans="1:26" x14ac:dyDescent="0.3">
      <c r="C9" s="53" t="s">
        <v>396</v>
      </c>
      <c r="D9" s="138" t="e">
        <f ca="1">'STI ETF '!AI8</f>
        <v>#NAME?</v>
      </c>
      <c r="E9" s="138" t="e">
        <f ca="1">'STI ETF '!AG8</f>
        <v>#NAME?</v>
      </c>
      <c r="F9" s="138" t="e">
        <f ca="1">'STI ETF '!AH8</f>
        <v>#NAME?</v>
      </c>
      <c r="G9" s="53"/>
      <c r="H9" s="53"/>
      <c r="I9" s="53"/>
      <c r="J9" s="53"/>
      <c r="K9" s="53"/>
      <c r="L9" s="53"/>
    </row>
    <row r="11" spans="1:26" x14ac:dyDescent="0.3">
      <c r="A11" t="s">
        <v>589</v>
      </c>
      <c r="D11" s="112"/>
    </row>
    <row r="12" spans="1:26" x14ac:dyDescent="0.3">
      <c r="A12" s="140" t="s">
        <v>588</v>
      </c>
      <c r="B12" s="140" t="s">
        <v>594</v>
      </c>
      <c r="C12" s="140" t="s">
        <v>590</v>
      </c>
      <c r="D12" s="140" t="s">
        <v>384</v>
      </c>
      <c r="E12" s="140" t="s">
        <v>591</v>
      </c>
      <c r="F12" s="140" t="s">
        <v>384</v>
      </c>
      <c r="G12" s="140" t="s">
        <v>593</v>
      </c>
      <c r="H12" s="140" t="s">
        <v>592</v>
      </c>
      <c r="I12" s="140" t="s">
        <v>384</v>
      </c>
      <c r="J12" s="140" t="s">
        <v>582</v>
      </c>
      <c r="K12" s="140" t="s">
        <v>384</v>
      </c>
    </row>
    <row r="13" spans="1:26" x14ac:dyDescent="0.3">
      <c r="A13" s="153">
        <f ca="1">NOW()</f>
        <v>44293.709094328704</v>
      </c>
      <c r="B13" t="e">
        <f ca="1">D3</f>
        <v>#NAME?</v>
      </c>
      <c r="C13" t="e">
        <f ca="1">G3</f>
        <v>#NAME?</v>
      </c>
      <c r="D13" t="e">
        <f ca="1">E3</f>
        <v>#NAME?</v>
      </c>
      <c r="E13" s="80" t="e">
        <f ca="1">H3</f>
        <v>#NAME?</v>
      </c>
      <c r="F13" t="e">
        <f ca="1">J3</f>
        <v>#NAME?</v>
      </c>
      <c r="G13" t="e">
        <f ca="1">D9</f>
        <v>#NAME?</v>
      </c>
      <c r="H13" t="e">
        <f ca="1">E8</f>
        <v>#NAME?</v>
      </c>
      <c r="I13" t="e">
        <f ca="1">H8</f>
        <v>#NAME?</v>
      </c>
      <c r="J13" t="e">
        <f ca="1">F8</f>
        <v>#NAME?</v>
      </c>
      <c r="K13" t="e">
        <f ca="1">I8</f>
        <v>#NAME?</v>
      </c>
    </row>
    <row r="18" spans="1:25" x14ac:dyDescent="0.3">
      <c r="A18" t="s">
        <v>602</v>
      </c>
    </row>
    <row r="19" spans="1:25" x14ac:dyDescent="0.3">
      <c r="A19" s="164" t="s">
        <v>619</v>
      </c>
      <c r="B19" s="140" t="s">
        <v>588</v>
      </c>
      <c r="C19" s="140" t="s">
        <v>604</v>
      </c>
      <c r="D19" s="140" t="s">
        <v>606</v>
      </c>
      <c r="E19" s="140" t="s">
        <v>610</v>
      </c>
      <c r="F19" s="140" t="s">
        <v>596</v>
      </c>
      <c r="G19" s="140" t="s">
        <v>605</v>
      </c>
      <c r="H19" s="140" t="s">
        <v>607</v>
      </c>
      <c r="I19" s="140" t="s">
        <v>603</v>
      </c>
      <c r="J19" s="140" t="s">
        <v>611</v>
      </c>
      <c r="K19" s="140" t="s">
        <v>612</v>
      </c>
      <c r="L19" s="140" t="s">
        <v>609</v>
      </c>
      <c r="M19" s="140" t="s">
        <v>608</v>
      </c>
      <c r="N19" s="150" t="s">
        <v>620</v>
      </c>
      <c r="O19" s="140" t="s">
        <v>581</v>
      </c>
      <c r="P19" s="140" t="s">
        <v>618</v>
      </c>
      <c r="Q19" s="140" t="s">
        <v>613</v>
      </c>
      <c r="R19" s="140" t="s">
        <v>614</v>
      </c>
      <c r="S19" s="140" t="s">
        <v>615</v>
      </c>
      <c r="T19" s="140" t="s">
        <v>616</v>
      </c>
      <c r="U19" s="140" t="s">
        <v>617</v>
      </c>
      <c r="V19" s="140" t="s">
        <v>608</v>
      </c>
      <c r="W19" s="140"/>
    </row>
    <row r="20" spans="1:25" x14ac:dyDescent="0.3">
      <c r="A20" s="164"/>
      <c r="B20" s="153">
        <f ca="1">NOW()</f>
        <v>44293.709094328704</v>
      </c>
      <c r="C20" s="19" t="e">
        <f ca="1">G3</f>
        <v>#NAME?</v>
      </c>
      <c r="D20" s="19" t="e">
        <f ca="1">F3</f>
        <v>#NAME?</v>
      </c>
      <c r="E20" s="19" t="e">
        <f ca="1">MIN(D20,10)</f>
        <v>#NAME?</v>
      </c>
      <c r="F20" s="19" t="e">
        <f ca="1">E20*C20*100</f>
        <v>#NAME?</v>
      </c>
      <c r="G20" s="19" t="e">
        <f ca="1">F8</f>
        <v>#NAME?</v>
      </c>
      <c r="H20" s="19" t="e">
        <f ca="1">J8</f>
        <v>#NAME?</v>
      </c>
      <c r="I20" s="162" t="e">
        <f ca="1">AND(E3&gt;0,IF((E3-I8)&gt;M20,TRUE,FALSE))</f>
        <v>#NAME?</v>
      </c>
      <c r="J20" s="19" t="e">
        <f ca="1">ROUNDDOWN(F20/(G20*10),-1)</f>
        <v>#NAME?</v>
      </c>
      <c r="K20" s="19" t="e">
        <f ca="1">J20*G20</f>
        <v>#NAME?</v>
      </c>
      <c r="L20" s="19" t="e">
        <f ca="1">IF(I20=FALSE,"",ABS(E3-I8))</f>
        <v>#NAME?</v>
      </c>
      <c r="M20" s="19">
        <v>5</v>
      </c>
      <c r="N20" s="150"/>
      <c r="O20" s="153">
        <f ca="1">NOW()</f>
        <v>44293.709094328704</v>
      </c>
      <c r="P20" s="162" t="e">
        <f ca="1">IF((E3-I8)&lt;V20,TRUE,FALSE)</f>
        <v>#NAME?</v>
      </c>
      <c r="Q20" s="19" t="e">
        <f ca="1">H3</f>
        <v>#NAME?</v>
      </c>
      <c r="R20" s="19" t="e">
        <f ca="1">I3</f>
        <v>#NAME?</v>
      </c>
      <c r="S20" s="19" t="e">
        <f ca="1">E8</f>
        <v>#NAME?</v>
      </c>
      <c r="T20" s="19" t="e">
        <f ca="1">G8</f>
        <v>#NAME?</v>
      </c>
      <c r="U20" s="19"/>
      <c r="V20" s="19">
        <v>2</v>
      </c>
      <c r="W20" s="19"/>
    </row>
    <row r="27" spans="1:25" x14ac:dyDescent="0.3">
      <c r="A27" s="19" t="s">
        <v>629</v>
      </c>
      <c r="B27" s="19"/>
      <c r="C27" s="19"/>
      <c r="D27" s="19"/>
      <c r="E27" s="19"/>
      <c r="F27" s="19"/>
      <c r="G27" s="19"/>
      <c r="H27" s="19"/>
      <c r="I27" s="19"/>
      <c r="J27" s="19"/>
      <c r="K27" s="19"/>
      <c r="L27" s="19"/>
      <c r="M27" s="19"/>
      <c r="N27" s="19"/>
      <c r="O27" s="19"/>
      <c r="P27" s="19"/>
      <c r="Q27" s="19"/>
      <c r="R27" s="19"/>
      <c r="S27" s="19"/>
      <c r="T27" s="19"/>
      <c r="U27" s="19"/>
      <c r="V27" s="19"/>
      <c r="W27" s="19"/>
      <c r="X27" s="19"/>
      <c r="Y27" s="19"/>
    </row>
    <row r="28" spans="1:25" x14ac:dyDescent="0.3">
      <c r="A28" s="164" t="s">
        <v>619</v>
      </c>
      <c r="B28" s="140" t="s">
        <v>588</v>
      </c>
      <c r="C28" s="140" t="s">
        <v>613</v>
      </c>
      <c r="D28" s="140" t="s">
        <v>614</v>
      </c>
      <c r="E28" s="140" t="s">
        <v>610</v>
      </c>
      <c r="F28" s="140" t="s">
        <v>596</v>
      </c>
      <c r="G28" s="140" t="s">
        <v>615</v>
      </c>
      <c r="H28" s="140" t="s">
        <v>616</v>
      </c>
      <c r="I28" s="140" t="s">
        <v>603</v>
      </c>
      <c r="J28" s="140" t="s">
        <v>611</v>
      </c>
      <c r="K28" s="140" t="s">
        <v>612</v>
      </c>
      <c r="L28" s="140" t="s">
        <v>609</v>
      </c>
      <c r="M28" s="140" t="s">
        <v>608</v>
      </c>
      <c r="N28" s="150" t="s">
        <v>620</v>
      </c>
      <c r="O28" s="140" t="s">
        <v>581</v>
      </c>
      <c r="P28" s="140" t="s">
        <v>618</v>
      </c>
      <c r="Q28" s="140" t="s">
        <v>604</v>
      </c>
      <c r="R28" s="140" t="s">
        <v>606</v>
      </c>
      <c r="S28" s="140" t="s">
        <v>605</v>
      </c>
      <c r="T28" s="140" t="s">
        <v>607</v>
      </c>
      <c r="U28" s="140" t="s">
        <v>617</v>
      </c>
      <c r="V28" s="140" t="s">
        <v>608</v>
      </c>
      <c r="W28" s="140"/>
    </row>
    <row r="29" spans="1:25" x14ac:dyDescent="0.3">
      <c r="A29" s="164"/>
      <c r="B29" s="153">
        <f ca="1">NOW()</f>
        <v>44293.709094328704</v>
      </c>
      <c r="C29" s="19" t="e">
        <f ca="1">H3</f>
        <v>#NAME?</v>
      </c>
      <c r="D29" s="19" t="e">
        <f ca="1">I3</f>
        <v>#NAME?</v>
      </c>
      <c r="E29" s="19" t="e">
        <f ca="1">MIN(D29,10)</f>
        <v>#NAME?</v>
      </c>
      <c r="F29" s="19" t="e">
        <f ca="1">E29*C29*100</f>
        <v>#NAME?</v>
      </c>
      <c r="G29" s="19" t="e">
        <f ca="1">E8</f>
        <v>#NAME?</v>
      </c>
      <c r="H29" s="19" t="e">
        <f ca="1">G8</f>
        <v>#NAME?</v>
      </c>
      <c r="I29" s="162" t="e">
        <f ca="1">AND(J3&lt;0,IF((J3-H8)&lt;-M29,TRUE,FALSE))</f>
        <v>#NAME?</v>
      </c>
      <c r="J29" s="19" t="e">
        <f ca="1">ROUNDDOWN(F29/(G29*10),-1)</f>
        <v>#NAME?</v>
      </c>
      <c r="K29" s="19" t="e">
        <f ca="1">J29*G29</f>
        <v>#NAME?</v>
      </c>
      <c r="L29" s="19" t="e">
        <f ca="1">IF(I29=FALSE,"",ABS(J3-H8))</f>
        <v>#NAME?</v>
      </c>
      <c r="M29" s="19">
        <v>5</v>
      </c>
      <c r="N29" s="150"/>
      <c r="O29" s="153">
        <f ca="1">NOW()</f>
        <v>44293.709094328704</v>
      </c>
      <c r="P29" s="162" t="e">
        <f ca="1">IF((J3-H8)&gt;-V29,TRUE,FALSE)</f>
        <v>#NAME?</v>
      </c>
      <c r="Q29" s="19" t="e">
        <f ca="1">G3</f>
        <v>#NAME?</v>
      </c>
      <c r="R29" s="19" t="e">
        <f ca="1">F3</f>
        <v>#NAME?</v>
      </c>
      <c r="S29" s="19" t="e">
        <f ca="1">F8</f>
        <v>#NAME?</v>
      </c>
      <c r="T29" s="19" t="e">
        <f ca="1">J8</f>
        <v>#NAME?</v>
      </c>
      <c r="U29" s="19"/>
      <c r="V29" s="19">
        <v>2</v>
      </c>
      <c r="W29" s="19"/>
    </row>
    <row r="30" spans="1:25" x14ac:dyDescent="0.3">
      <c r="A30" s="19"/>
      <c r="B30" s="19"/>
      <c r="C30" s="19"/>
      <c r="D30" s="19"/>
      <c r="E30" s="19"/>
      <c r="F30" s="19"/>
      <c r="G30" s="19"/>
      <c r="H30" s="19"/>
      <c r="I30" s="19"/>
      <c r="J30" s="19"/>
      <c r="K30" s="19"/>
      <c r="L30" s="19"/>
      <c r="M30" s="19"/>
      <c r="N30" s="19"/>
      <c r="O30" s="19"/>
      <c r="P30" s="19"/>
      <c r="Q30" s="19"/>
      <c r="R30" s="19"/>
      <c r="S30" s="19"/>
      <c r="T30" s="19"/>
      <c r="U30" s="19"/>
      <c r="V30" s="19"/>
      <c r="W30" s="19"/>
      <c r="X30" s="19"/>
      <c r="Y30" s="19"/>
    </row>
    <row r="34" spans="1:23" x14ac:dyDescent="0.3">
      <c r="A34" s="19" t="s">
        <v>631</v>
      </c>
      <c r="B34" s="19"/>
      <c r="C34" s="19"/>
      <c r="D34" s="19"/>
      <c r="E34" s="19"/>
      <c r="F34" s="19"/>
      <c r="G34" s="19"/>
      <c r="H34" s="19"/>
      <c r="I34" s="19"/>
      <c r="J34" s="19"/>
      <c r="K34" s="19"/>
      <c r="L34" s="19"/>
      <c r="M34" s="19"/>
      <c r="N34" s="19"/>
      <c r="O34" s="19"/>
      <c r="P34" s="19"/>
      <c r="Q34" s="19"/>
      <c r="R34" s="19"/>
      <c r="S34" s="19"/>
      <c r="T34" s="19"/>
      <c r="U34" s="19"/>
      <c r="V34" s="19"/>
      <c r="W34" s="19"/>
    </row>
    <row r="35" spans="1:23" x14ac:dyDescent="0.3">
      <c r="A35" s="164" t="s">
        <v>619</v>
      </c>
      <c r="B35" s="140" t="s">
        <v>588</v>
      </c>
      <c r="C35" s="140" t="s">
        <v>615</v>
      </c>
      <c r="D35" s="140" t="s">
        <v>616</v>
      </c>
      <c r="E35" s="140" t="s">
        <v>610</v>
      </c>
      <c r="F35" s="140" t="s">
        <v>596</v>
      </c>
      <c r="G35" s="140" t="s">
        <v>613</v>
      </c>
      <c r="H35" s="140" t="s">
        <v>614</v>
      </c>
      <c r="I35" s="140" t="s">
        <v>603</v>
      </c>
      <c r="J35" s="140" t="s">
        <v>611</v>
      </c>
      <c r="K35" s="140" t="s">
        <v>612</v>
      </c>
      <c r="L35" s="140" t="s">
        <v>609</v>
      </c>
      <c r="M35" s="140" t="s">
        <v>608</v>
      </c>
      <c r="N35" s="150" t="s">
        <v>620</v>
      </c>
      <c r="O35" s="140" t="s">
        <v>581</v>
      </c>
      <c r="P35" s="140" t="s">
        <v>618</v>
      </c>
      <c r="Q35" s="140" t="s">
        <v>605</v>
      </c>
      <c r="R35" s="140" t="s">
        <v>607</v>
      </c>
      <c r="S35" s="140" t="s">
        <v>604</v>
      </c>
      <c r="T35" s="140" t="s">
        <v>606</v>
      </c>
      <c r="U35" s="140" t="s">
        <v>617</v>
      </c>
      <c r="V35" s="140" t="s">
        <v>608</v>
      </c>
      <c r="W35" s="140"/>
    </row>
    <row r="36" spans="1:23" x14ac:dyDescent="0.3">
      <c r="A36" s="164"/>
      <c r="B36" s="153">
        <f ca="1">NOW()</f>
        <v>44293.709094328704</v>
      </c>
      <c r="C36" s="19" t="e">
        <f ca="1">E8</f>
        <v>#NAME?</v>
      </c>
      <c r="D36" s="19" t="e">
        <f ca="1">G8</f>
        <v>#NAME?</v>
      </c>
      <c r="E36" s="19" t="e">
        <f ca="1">ROUNDDOWN((K36/(C36*10)),0)</f>
        <v>#NAME?</v>
      </c>
      <c r="F36" s="19" t="e">
        <f ca="1">E36*C36*100</f>
        <v>#NAME?</v>
      </c>
      <c r="G36" s="19" t="e">
        <f ca="1">H3</f>
        <v>#NAME?</v>
      </c>
      <c r="H36" s="19" t="e">
        <f ca="1">I3</f>
        <v>#NAME?</v>
      </c>
      <c r="I36" s="162" t="e">
        <f ca="1">AND(H8&gt;0,IF((H8-J3)&gt;M36,TRUE,FALSE))</f>
        <v>#NAME?</v>
      </c>
      <c r="J36" s="19" t="e">
        <f ca="1">MIN(H36,ROUNDDOWN((1000000/2)/(G36*100),0))</f>
        <v>#NAME?</v>
      </c>
      <c r="K36" s="19" t="e">
        <f ca="1">J36*G36*100</f>
        <v>#NAME?</v>
      </c>
      <c r="L36" s="19" t="e">
        <f ca="1">IF(I36=FALSE,"",ABS(E19-I24))</f>
        <v>#NAME?</v>
      </c>
      <c r="M36" s="19">
        <v>5</v>
      </c>
      <c r="N36" s="150"/>
      <c r="O36" s="153">
        <f ca="1">NOW()</f>
        <v>44293.709094328704</v>
      </c>
      <c r="P36" s="162" t="e">
        <f ca="1">IF((H8-J3)&lt;V36,TRUE,FALSE)</f>
        <v>#NAME?</v>
      </c>
      <c r="Q36" s="19" t="e">
        <f ca="1">F8</f>
        <v>#NAME?</v>
      </c>
      <c r="R36" s="19" t="e">
        <f ca="1">J8</f>
        <v>#NAME?</v>
      </c>
      <c r="S36" s="19" t="e">
        <f ca="1">G3</f>
        <v>#NAME?</v>
      </c>
      <c r="T36" s="19" t="e">
        <f ca="1">F3</f>
        <v>#NAME?</v>
      </c>
      <c r="U36" s="19"/>
      <c r="V36" s="19">
        <v>2</v>
      </c>
      <c r="W36" s="19"/>
    </row>
    <row r="40" spans="1:23" x14ac:dyDescent="0.3">
      <c r="A40" s="19" t="s">
        <v>630</v>
      </c>
      <c r="B40" s="19"/>
      <c r="C40" s="19"/>
      <c r="D40" s="19"/>
      <c r="E40" s="19"/>
      <c r="F40" s="19"/>
      <c r="G40" s="19"/>
      <c r="H40" s="19"/>
      <c r="I40" s="19"/>
      <c r="J40" s="19"/>
      <c r="K40" s="19"/>
      <c r="L40" s="19"/>
      <c r="M40" s="19"/>
      <c r="N40" s="19"/>
      <c r="O40" s="19"/>
      <c r="P40" s="19"/>
      <c r="Q40" s="19"/>
      <c r="R40" s="19"/>
      <c r="S40" s="19"/>
      <c r="T40" s="19"/>
      <c r="U40" s="19"/>
      <c r="V40" s="19"/>
      <c r="W40" s="19"/>
    </row>
    <row r="41" spans="1:23" x14ac:dyDescent="0.3">
      <c r="A41" s="164" t="s">
        <v>619</v>
      </c>
      <c r="B41" s="140" t="s">
        <v>588</v>
      </c>
      <c r="C41" s="140" t="s">
        <v>605</v>
      </c>
      <c r="D41" s="140" t="s">
        <v>607</v>
      </c>
      <c r="E41" s="140" t="s">
        <v>610</v>
      </c>
      <c r="F41" s="140" t="s">
        <v>596</v>
      </c>
      <c r="G41" s="140" t="s">
        <v>604</v>
      </c>
      <c r="H41" s="140" t="s">
        <v>606</v>
      </c>
      <c r="I41" s="140" t="s">
        <v>603</v>
      </c>
      <c r="J41" s="140" t="s">
        <v>611</v>
      </c>
      <c r="K41" s="140" t="s">
        <v>612</v>
      </c>
      <c r="L41" s="140" t="s">
        <v>609</v>
      </c>
      <c r="M41" s="140" t="s">
        <v>608</v>
      </c>
      <c r="N41" s="150" t="s">
        <v>620</v>
      </c>
      <c r="O41" s="140" t="s">
        <v>581</v>
      </c>
      <c r="P41" s="140" t="s">
        <v>618</v>
      </c>
      <c r="Q41" s="140" t="s">
        <v>615</v>
      </c>
      <c r="R41" s="140" t="s">
        <v>616</v>
      </c>
      <c r="S41" s="140" t="s">
        <v>613</v>
      </c>
      <c r="T41" s="140" t="s">
        <v>614</v>
      </c>
      <c r="U41" s="140" t="s">
        <v>617</v>
      </c>
      <c r="V41" s="140" t="s">
        <v>608</v>
      </c>
      <c r="W41" s="140"/>
    </row>
    <row r="42" spans="1:23" x14ac:dyDescent="0.3">
      <c r="A42" s="164"/>
      <c r="B42" s="153">
        <f ca="1">NOW()</f>
        <v>44293.709094328704</v>
      </c>
      <c r="C42" s="19" t="e">
        <f ca="1">F8</f>
        <v>#NAME?</v>
      </c>
      <c r="D42" s="19" t="e">
        <f ca="1">J8</f>
        <v>#NAME?</v>
      </c>
      <c r="E42" s="19" t="e">
        <f ca="1">MIN(D42,10)</f>
        <v>#NAME?</v>
      </c>
      <c r="F42" s="19" t="e">
        <f ca="1">E42*C42*100</f>
        <v>#NAME?</v>
      </c>
      <c r="G42" s="19" t="e">
        <f ca="1">G3</f>
        <v>#NAME?</v>
      </c>
      <c r="H42" s="19" t="e">
        <f ca="1">F3</f>
        <v>#NAME?</v>
      </c>
      <c r="I42" s="162" t="e">
        <f ca="1">AND(I8&lt;0,IF((I8-E3)&lt;-M42,TRUE,FALSE))</f>
        <v>#NAME?</v>
      </c>
      <c r="J42" s="19" t="e">
        <f ca="1">ROUNDDOWN(F42/(G42*10),-1)</f>
        <v>#NAME?</v>
      </c>
      <c r="K42" s="19" t="e">
        <f ca="1">J42*G42</f>
        <v>#NAME?</v>
      </c>
      <c r="L42" s="19" t="e">
        <f ca="1">IF(I42=FALSE,"",ABS(E25-I30))</f>
        <v>#NAME?</v>
      </c>
      <c r="M42" s="19">
        <v>5</v>
      </c>
      <c r="N42" s="150"/>
      <c r="O42" s="153">
        <f ca="1">NOW()</f>
        <v>44293.709094328704</v>
      </c>
      <c r="P42" s="162" t="e">
        <f ca="1">IF((I8-E3)&gt;-V42,TRUE,FALSE)</f>
        <v>#NAME?</v>
      </c>
      <c r="Q42" s="19" t="e">
        <f ca="1">E8</f>
        <v>#NAME?</v>
      </c>
      <c r="R42" s="19" t="e">
        <f ca="1">G8</f>
        <v>#NAME?</v>
      </c>
      <c r="S42" s="19" t="e">
        <f ca="1">H3</f>
        <v>#NAME?</v>
      </c>
      <c r="T42" s="19" t="e">
        <f ca="1">I3</f>
        <v>#NAME?</v>
      </c>
      <c r="U42" s="19"/>
      <c r="V42" s="19">
        <v>2</v>
      </c>
      <c r="W42" s="19"/>
    </row>
    <row r="61" spans="1:12" x14ac:dyDescent="0.3">
      <c r="A61" s="149" t="s">
        <v>573</v>
      </c>
      <c r="B61" s="149"/>
      <c r="C61" s="149"/>
      <c r="D61" s="149"/>
      <c r="E61" s="149"/>
      <c r="F61" s="149"/>
      <c r="G61" s="149"/>
      <c r="H61" s="149"/>
      <c r="I61" s="149"/>
      <c r="J61" s="149"/>
      <c r="K61" s="149"/>
      <c r="L61" s="149"/>
    </row>
    <row r="62" spans="1:12" x14ac:dyDescent="0.3">
      <c r="A62" s="19" t="s">
        <v>574</v>
      </c>
    </row>
    <row r="63" spans="1:12" x14ac:dyDescent="0.3">
      <c r="A63" s="148" t="s">
        <v>381</v>
      </c>
      <c r="B63" t="s">
        <v>370</v>
      </c>
      <c r="C63" t="e">
        <f ca="1">E3</f>
        <v>#NAME?</v>
      </c>
      <c r="D63" t="e">
        <f ca="1">IF(C63&gt;0,C63,"Need to Queue")</f>
        <v>#NAME?</v>
      </c>
      <c r="E63" t="e">
        <f ca="1">C63-C66</f>
        <v>#NAME?</v>
      </c>
    </row>
    <row r="64" spans="1:12" x14ac:dyDescent="0.3">
      <c r="A64" s="148"/>
      <c r="B64" t="s">
        <v>371</v>
      </c>
      <c r="C64" t="e">
        <f ca="1">J3</f>
        <v>#NAME?</v>
      </c>
      <c r="D64" s="19" t="e">
        <f ca="1">IF(C64&lt;0,C64,"Need to Queue")</f>
        <v>#NAME?</v>
      </c>
      <c r="E64" t="e">
        <f ca="1">C64-C65</f>
        <v>#NAME?</v>
      </c>
    </row>
    <row r="65" spans="1:8" x14ac:dyDescent="0.3">
      <c r="A65" s="148" t="s">
        <v>407</v>
      </c>
      <c r="B65" t="s">
        <v>370</v>
      </c>
      <c r="C65" t="e">
        <f ca="1">H8</f>
        <v>#NAME?</v>
      </c>
      <c r="D65" s="19" t="e">
        <f ca="1">IF(C65&gt;0,C65,"Need to Queue")</f>
        <v>#NAME?</v>
      </c>
      <c r="E65" t="e">
        <f ca="1">C65-C64</f>
        <v>#NAME?</v>
      </c>
    </row>
    <row r="66" spans="1:8" x14ac:dyDescent="0.3">
      <c r="A66" s="148"/>
      <c r="B66" t="s">
        <v>399</v>
      </c>
      <c r="C66" t="e">
        <f ca="1">I8</f>
        <v>#NAME?</v>
      </c>
      <c r="D66" s="19" t="e">
        <f ca="1">IF(C66&lt;0,C66,"Need to Queue")</f>
        <v>#NAME?</v>
      </c>
      <c r="E66" t="e">
        <f ca="1">C66-C63</f>
        <v>#NAME?</v>
      </c>
    </row>
    <row r="67" spans="1:8" x14ac:dyDescent="0.3">
      <c r="A67" s="19"/>
      <c r="H67" t="e">
        <f ca="1">_xll.BFieldInfo(H$68)</f>
        <v>#NAME?</v>
      </c>
    </row>
    <row r="68" spans="1:8" x14ac:dyDescent="0.3">
      <c r="A68" s="19"/>
      <c r="H68" t="s">
        <v>598</v>
      </c>
    </row>
    <row r="69" spans="1:8" x14ac:dyDescent="0.3">
      <c r="A69" s="19"/>
      <c r="G69" t="s">
        <v>380</v>
      </c>
      <c r="H69" t="e">
        <f ca="1">_xll.BDP($G69,H$68)</f>
        <v>#NAME?</v>
      </c>
    </row>
    <row r="70" spans="1:8" x14ac:dyDescent="0.3">
      <c r="A70" s="19"/>
    </row>
    <row r="71" spans="1:8" ht="43.2" x14ac:dyDescent="0.3">
      <c r="A71" s="19"/>
      <c r="B71" s="141" t="s">
        <v>577</v>
      </c>
    </row>
    <row r="72" spans="1:8" x14ac:dyDescent="0.3">
      <c r="A72" s="19" t="s">
        <v>575</v>
      </c>
      <c r="B72" s="140" t="s">
        <v>576</v>
      </c>
      <c r="C72" s="140" t="s">
        <v>578</v>
      </c>
      <c r="E72" s="140" t="s">
        <v>579</v>
      </c>
      <c r="F72" s="140" t="s">
        <v>580</v>
      </c>
    </row>
    <row r="73" spans="1:8" x14ac:dyDescent="0.3">
      <c r="A73" s="19"/>
      <c r="B73" t="e">
        <f ca="1">AND(C63&gt;0,(C63-C66)&gt;5)</f>
        <v>#NAME?</v>
      </c>
      <c r="C73" t="e">
        <f ca="1">AND(C64&lt;0,ABS(C64-C65)&gt;5)</f>
        <v>#NAME?</v>
      </c>
      <c r="E73" t="e">
        <f ca="1">AND(C65&gt;0,(C65-C64)&gt;5)</f>
        <v>#NAME?</v>
      </c>
      <c r="F73" t="e">
        <f ca="1">AND(C66&lt;0,(C66-C63)&lt;-5)</f>
        <v>#NAME?</v>
      </c>
    </row>
    <row r="74" spans="1:8" x14ac:dyDescent="0.3">
      <c r="B74" t="e">
        <f ca="1">IF(B73=TRUE,C63-C66,"No Opportunity")</f>
        <v>#NAME?</v>
      </c>
      <c r="C74" s="19" t="e">
        <f ca="1">IF(C73=TRUE,C64-C65,"No Opportunity")</f>
        <v>#NAME?</v>
      </c>
      <c r="D74" s="19"/>
      <c r="E74" s="19" t="e">
        <f ca="1">IF(E73=TRUE,C65-C64,"No Opportunity")</f>
        <v>#NAME?</v>
      </c>
      <c r="F74" s="19" t="e">
        <f ca="1">IF(F73=TRUE,C66-C63,"No Opportunity")</f>
        <v>#NAME?</v>
      </c>
    </row>
  </sheetData>
  <mergeCells count="7">
    <mergeCell ref="A35:A36"/>
    <mergeCell ref="A41:A42"/>
    <mergeCell ref="B4:C4"/>
    <mergeCell ref="X2:Y2"/>
    <mergeCell ref="K6:L6"/>
    <mergeCell ref="A19:A20"/>
    <mergeCell ref="A28:A29"/>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X12"/>
  <sheetViews>
    <sheetView zoomScale="58" zoomScaleNormal="58" workbookViewId="0">
      <selection activeCell="J41" sqref="J41"/>
    </sheetView>
  </sheetViews>
  <sheetFormatPr defaultColWidth="9.109375" defaultRowHeight="14.4" x14ac:dyDescent="0.3"/>
  <cols>
    <col min="1" max="2" width="23.6640625" style="19" bestFit="1" customWidth="1"/>
    <col min="3" max="3" width="23.5546875" style="19" bestFit="1" customWidth="1"/>
    <col min="4" max="4" width="28.109375" style="19" bestFit="1" customWidth="1"/>
    <col min="5" max="5" width="26" style="19" bestFit="1" customWidth="1"/>
    <col min="6" max="6" width="23.44140625" style="19" bestFit="1" customWidth="1"/>
    <col min="7" max="7" width="21.33203125" style="19" bestFit="1" customWidth="1"/>
    <col min="8" max="9" width="26.44140625" style="19" bestFit="1" customWidth="1"/>
    <col min="10" max="10" width="23.88671875" style="19" bestFit="1" customWidth="1"/>
    <col min="11" max="11" width="23.5546875" style="19" bestFit="1" customWidth="1"/>
    <col min="12" max="12" width="23.33203125" style="19" bestFit="1" customWidth="1"/>
    <col min="13" max="13" width="12.44140625" style="19" bestFit="1" customWidth="1"/>
    <col min="14" max="14" width="12.6640625" style="19" bestFit="1" customWidth="1"/>
    <col min="15" max="15" width="14" style="153" bestFit="1" customWidth="1"/>
    <col min="16" max="16" width="14.44140625" style="19" bestFit="1" customWidth="1"/>
    <col min="17" max="17" width="29.6640625" style="19" bestFit="1" customWidth="1"/>
    <col min="18" max="18" width="27.109375" style="19" bestFit="1" customWidth="1"/>
    <col min="19" max="19" width="20.5546875" style="19" bestFit="1" customWidth="1"/>
    <col min="20" max="20" width="15.6640625" style="19" bestFit="1" customWidth="1"/>
    <col min="21" max="21" width="14.44140625" style="19" bestFit="1" customWidth="1"/>
    <col min="22" max="22" width="19.5546875" style="19" bestFit="1" customWidth="1"/>
    <col min="23" max="23" width="10.6640625" style="19" bestFit="1" customWidth="1"/>
    <col min="24" max="24" width="21.109375" style="19" bestFit="1" customWidth="1"/>
    <col min="25" max="16384" width="9.109375" style="19"/>
  </cols>
  <sheetData>
    <row r="1" spans="1:24" x14ac:dyDescent="0.3">
      <c r="A1" s="19" t="s">
        <v>602</v>
      </c>
    </row>
    <row r="2" spans="1:24" x14ac:dyDescent="0.3">
      <c r="A2" s="155" t="s">
        <v>619</v>
      </c>
      <c r="B2" s="140" t="s">
        <v>588</v>
      </c>
      <c r="C2" s="140" t="s">
        <v>604</v>
      </c>
      <c r="D2" s="140" t="s">
        <v>606</v>
      </c>
      <c r="E2" s="140" t="s">
        <v>610</v>
      </c>
      <c r="F2" s="140" t="s">
        <v>596</v>
      </c>
      <c r="G2" s="140" t="s">
        <v>605</v>
      </c>
      <c r="H2" s="140" t="s">
        <v>607</v>
      </c>
      <c r="I2" s="140" t="s">
        <v>603</v>
      </c>
      <c r="J2" s="140" t="s">
        <v>611</v>
      </c>
      <c r="K2" s="140" t="s">
        <v>612</v>
      </c>
      <c r="L2" s="140" t="s">
        <v>609</v>
      </c>
      <c r="M2" s="140" t="s">
        <v>608</v>
      </c>
      <c r="N2" s="155" t="s">
        <v>620</v>
      </c>
      <c r="O2" s="158" t="s">
        <v>581</v>
      </c>
      <c r="P2" s="140" t="s">
        <v>618</v>
      </c>
      <c r="Q2" s="140" t="s">
        <v>613</v>
      </c>
      <c r="R2" s="140" t="s">
        <v>614</v>
      </c>
      <c r="S2" s="140" t="s">
        <v>615</v>
      </c>
      <c r="T2" s="140" t="s">
        <v>616</v>
      </c>
      <c r="U2" s="140" t="s">
        <v>617</v>
      </c>
      <c r="V2" s="140" t="s">
        <v>608</v>
      </c>
      <c r="X2" s="19" t="s">
        <v>628</v>
      </c>
    </row>
    <row r="3" spans="1:24" x14ac:dyDescent="0.3">
      <c r="A3" s="155"/>
      <c r="B3" s="153">
        <f ca="1">Spread!B20</f>
        <v>44293.709094328704</v>
      </c>
      <c r="C3" s="154" t="e">
        <f ca="1">Spread!C20</f>
        <v>#NAME?</v>
      </c>
      <c r="D3" s="154" t="e">
        <f ca="1">Spread!D20</f>
        <v>#NAME?</v>
      </c>
      <c r="E3" s="39" t="e">
        <f ca="1">MIN(ROUNDDOWN((X3/2)/(C3*100),0),D3)</f>
        <v>#NAME?</v>
      </c>
      <c r="F3" s="154" t="e">
        <f ca="1">Spread!F20</f>
        <v>#NAME?</v>
      </c>
      <c r="G3" s="154" t="e">
        <f ca="1">Spread!G20</f>
        <v>#NAME?</v>
      </c>
      <c r="H3" s="154" t="e">
        <f ca="1">Spread!H20</f>
        <v>#NAME?</v>
      </c>
      <c r="I3" s="154" t="e">
        <f ca="1">Spread!I20</f>
        <v>#NAME?</v>
      </c>
      <c r="J3" s="154" t="e">
        <f ca="1">Spread!J20</f>
        <v>#NAME?</v>
      </c>
      <c r="K3" s="154" t="e">
        <f ca="1">Spread!K20</f>
        <v>#NAME?</v>
      </c>
      <c r="L3" s="154" t="e">
        <f ca="1">Spread!L20</f>
        <v>#NAME?</v>
      </c>
      <c r="M3" s="154">
        <f>Spread!M20</f>
        <v>5</v>
      </c>
      <c r="N3" s="155"/>
      <c r="O3" s="153">
        <f ca="1">Spread!O20</f>
        <v>44293.709094328704</v>
      </c>
      <c r="P3" s="154" t="e">
        <f ca="1">Spread!P20</f>
        <v>#NAME?</v>
      </c>
      <c r="Q3" s="154" t="e">
        <f ca="1">Spread!Q20</f>
        <v>#NAME?</v>
      </c>
      <c r="R3" s="154" t="e">
        <f ca="1">Spread!R20</f>
        <v>#NAME?</v>
      </c>
      <c r="S3" s="154" t="e">
        <f ca="1">Spread!E8</f>
        <v>#NAME?</v>
      </c>
      <c r="T3" s="154" t="e">
        <f ca="1">Spread!T20</f>
        <v>#NAME?</v>
      </c>
      <c r="U3" s="154">
        <f>Spread!U20</f>
        <v>0</v>
      </c>
      <c r="V3" s="154">
        <f>Spread!V20</f>
        <v>2</v>
      </c>
      <c r="X3" s="160">
        <f>X11+SUM(U12:U99)</f>
        <v>1000000</v>
      </c>
    </row>
    <row r="4" spans="1:24" x14ac:dyDescent="0.3">
      <c r="O4" s="19"/>
    </row>
    <row r="5" spans="1:24" x14ac:dyDescent="0.3">
      <c r="O5" s="19"/>
    </row>
    <row r="6" spans="1:24" x14ac:dyDescent="0.3">
      <c r="A6" s="19" t="s">
        <v>623</v>
      </c>
      <c r="B6" s="19" t="str">
        <f>IF(COUNT(B10:B999)&gt;COUNT(O10:O999), "Entered", "Exited")</f>
        <v>Exited</v>
      </c>
      <c r="S6" s="157"/>
    </row>
    <row r="8" spans="1:24" x14ac:dyDescent="0.3">
      <c r="A8" s="19" t="s">
        <v>621</v>
      </c>
      <c r="C8" s="19" t="s">
        <v>625</v>
      </c>
      <c r="G8" s="19" t="s">
        <v>626</v>
      </c>
      <c r="Q8" s="19" t="s">
        <v>626</v>
      </c>
      <c r="S8" s="19" t="s">
        <v>627</v>
      </c>
      <c r="U8" s="80" t="s">
        <v>622</v>
      </c>
    </row>
    <row r="9" spans="1:24" x14ac:dyDescent="0.3">
      <c r="A9" s="155" t="s">
        <v>619</v>
      </c>
      <c r="B9" s="140" t="s">
        <v>588</v>
      </c>
      <c r="C9" s="140" t="s">
        <v>604</v>
      </c>
      <c r="D9" s="140" t="s">
        <v>606</v>
      </c>
      <c r="E9" s="140" t="s">
        <v>610</v>
      </c>
      <c r="F9" s="140" t="s">
        <v>596</v>
      </c>
      <c r="G9" s="140" t="s">
        <v>605</v>
      </c>
      <c r="H9" s="140" t="s">
        <v>607</v>
      </c>
      <c r="I9" s="140" t="s">
        <v>603</v>
      </c>
      <c r="J9" s="140" t="s">
        <v>611</v>
      </c>
      <c r="K9" s="140" t="s">
        <v>612</v>
      </c>
      <c r="L9" s="140" t="s">
        <v>609</v>
      </c>
      <c r="M9" s="140" t="s">
        <v>608</v>
      </c>
      <c r="N9" s="155" t="s">
        <v>620</v>
      </c>
      <c r="O9" s="158" t="s">
        <v>581</v>
      </c>
      <c r="P9" s="140" t="s">
        <v>618</v>
      </c>
      <c r="Q9" s="140" t="s">
        <v>613</v>
      </c>
      <c r="R9" s="140" t="s">
        <v>614</v>
      </c>
      <c r="S9" s="140" t="s">
        <v>615</v>
      </c>
      <c r="T9" s="140" t="s">
        <v>616</v>
      </c>
      <c r="U9" s="140" t="s">
        <v>617</v>
      </c>
      <c r="V9" s="140" t="s">
        <v>608</v>
      </c>
      <c r="X9" s="140" t="s">
        <v>624</v>
      </c>
    </row>
    <row r="10" spans="1:24" x14ac:dyDescent="0.3">
      <c r="A10" s="156">
        <v>0</v>
      </c>
      <c r="B10" s="156">
        <v>0</v>
      </c>
      <c r="C10" s="156">
        <v>0</v>
      </c>
      <c r="D10" s="156">
        <v>0</v>
      </c>
      <c r="E10" s="156">
        <v>0</v>
      </c>
      <c r="F10" s="156">
        <v>0</v>
      </c>
      <c r="G10" s="156">
        <v>0</v>
      </c>
      <c r="H10" s="156">
        <v>0</v>
      </c>
      <c r="I10" s="156">
        <v>0</v>
      </c>
      <c r="J10" s="156">
        <v>0</v>
      </c>
      <c r="K10" s="156">
        <v>0</v>
      </c>
      <c r="L10" s="156">
        <v>0</v>
      </c>
      <c r="M10" s="156">
        <v>0</v>
      </c>
      <c r="N10" s="156">
        <v>0</v>
      </c>
      <c r="O10" s="159">
        <v>0</v>
      </c>
      <c r="P10" s="156">
        <v>0</v>
      </c>
      <c r="Q10" s="156">
        <v>0</v>
      </c>
      <c r="R10" s="156">
        <v>0</v>
      </c>
      <c r="S10" s="156">
        <v>0</v>
      </c>
      <c r="T10" s="156">
        <v>0</v>
      </c>
      <c r="U10" s="156">
        <v>0</v>
      </c>
      <c r="V10" s="156">
        <v>0</v>
      </c>
    </row>
    <row r="11" spans="1:24" x14ac:dyDescent="0.3">
      <c r="A11" s="156">
        <v>0</v>
      </c>
      <c r="B11" s="156">
        <v>0</v>
      </c>
      <c r="C11" s="156">
        <v>0</v>
      </c>
      <c r="D11" s="156">
        <v>0</v>
      </c>
      <c r="E11" s="156">
        <v>0</v>
      </c>
      <c r="F11" s="156">
        <v>0</v>
      </c>
      <c r="G11" s="156">
        <v>0</v>
      </c>
      <c r="H11" s="156">
        <v>0</v>
      </c>
      <c r="I11" s="156">
        <v>0</v>
      </c>
      <c r="J11" s="156">
        <v>0</v>
      </c>
      <c r="K11" s="156">
        <v>0</v>
      </c>
      <c r="L11" s="156">
        <v>0</v>
      </c>
      <c r="M11" s="156">
        <v>0</v>
      </c>
      <c r="N11" s="156">
        <v>0</v>
      </c>
      <c r="O11" s="159">
        <v>0</v>
      </c>
      <c r="P11" s="156">
        <v>0</v>
      </c>
      <c r="Q11" s="156">
        <v>0</v>
      </c>
      <c r="R11" s="156">
        <v>0</v>
      </c>
      <c r="S11" s="156">
        <v>0</v>
      </c>
      <c r="T11" s="156">
        <v>0</v>
      </c>
      <c r="U11" s="156">
        <v>0</v>
      </c>
      <c r="V11" s="156">
        <v>0</v>
      </c>
      <c r="X11" s="156">
        <v>1000000</v>
      </c>
    </row>
    <row r="12" spans="1:24" x14ac:dyDescent="0.3">
      <c r="B12" s="15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Y13"/>
  <sheetViews>
    <sheetView zoomScale="55" zoomScaleNormal="55" workbookViewId="0">
      <selection activeCell="J3" sqref="J3"/>
    </sheetView>
  </sheetViews>
  <sheetFormatPr defaultColWidth="9.109375" defaultRowHeight="14.4" x14ac:dyDescent="0.3"/>
  <cols>
    <col min="1" max="2" width="23.6640625" style="19" bestFit="1" customWidth="1"/>
    <col min="3" max="3" width="23.5546875" style="19" bestFit="1" customWidth="1"/>
    <col min="4" max="4" width="28.109375" style="19" bestFit="1" customWidth="1"/>
    <col min="5" max="5" width="26" style="19" bestFit="1" customWidth="1"/>
    <col min="6" max="6" width="23.44140625" style="19" bestFit="1" customWidth="1"/>
    <col min="7" max="7" width="21.33203125" style="19" bestFit="1" customWidth="1"/>
    <col min="8" max="9" width="26.44140625" style="19" bestFit="1" customWidth="1"/>
    <col min="10" max="10" width="19.6640625" style="19" bestFit="1" customWidth="1"/>
    <col min="11" max="11" width="23.5546875" style="19" bestFit="1" customWidth="1"/>
    <col min="12" max="12" width="23.33203125" style="19" bestFit="1" customWidth="1"/>
    <col min="13" max="13" width="12.44140625" style="19" bestFit="1" customWidth="1"/>
    <col min="14" max="14" width="12.6640625" style="19" bestFit="1" customWidth="1"/>
    <col min="15" max="15" width="14" style="153" bestFit="1" customWidth="1"/>
    <col min="16" max="16" width="14.44140625" style="19" bestFit="1" customWidth="1"/>
    <col min="17" max="17" width="29.6640625" style="19" bestFit="1" customWidth="1"/>
    <col min="18" max="18" width="27.109375" style="19" bestFit="1" customWidth="1"/>
    <col min="19" max="19" width="19.33203125" style="19" bestFit="1" customWidth="1"/>
    <col min="20" max="20" width="20.5546875" style="19" bestFit="1" customWidth="1"/>
    <col min="21" max="21" width="15.6640625" style="19" bestFit="1" customWidth="1"/>
    <col min="22" max="22" width="14.44140625" style="19" bestFit="1" customWidth="1"/>
    <col min="23" max="23" width="19.5546875" style="19" bestFit="1" customWidth="1"/>
    <col min="24" max="24" width="10.6640625" style="19" bestFit="1" customWidth="1"/>
    <col min="25" max="25" width="21.109375" style="19" bestFit="1" customWidth="1"/>
    <col min="26" max="16384" width="9.109375" style="19"/>
  </cols>
  <sheetData>
    <row r="1" spans="1:25" x14ac:dyDescent="0.3">
      <c r="A1" s="19" t="s">
        <v>602</v>
      </c>
    </row>
    <row r="2" spans="1:25" x14ac:dyDescent="0.3">
      <c r="A2" s="155" t="s">
        <v>619</v>
      </c>
      <c r="B2" s="140" t="str">
        <f>Spread!B28</f>
        <v xml:space="preserve">Time </v>
      </c>
      <c r="C2" s="140" t="str">
        <f>Spread!C28</f>
        <v xml:space="preserve">SiMSCI Futures Ask Price </v>
      </c>
      <c r="D2" s="140" t="str">
        <f>Spread!D28</f>
        <v>SiMSCI Futures Ask Size</v>
      </c>
      <c r="E2" s="140" t="str">
        <f>Spread!E28</f>
        <v>Number of contracts</v>
      </c>
      <c r="F2" s="140" t="str">
        <f>Spread!F28</f>
        <v>Dollar Value</v>
      </c>
      <c r="G2" s="140" t="str">
        <f>Spread!G28</f>
        <v xml:space="preserve">STI ETF Bid Price </v>
      </c>
      <c r="H2" s="140" t="str">
        <f>Spread!H28</f>
        <v>STI ETF Bid Size</v>
      </c>
      <c r="I2" s="140" t="str">
        <f>Spread!I28</f>
        <v xml:space="preserve">Entry decision </v>
      </c>
      <c r="J2" s="140" t="str">
        <f>Spread!J28</f>
        <v xml:space="preserve">Number of contracts </v>
      </c>
      <c r="K2" s="140" t="str">
        <f>Spread!K28</f>
        <v xml:space="preserve">Dollar Value </v>
      </c>
      <c r="L2" s="140" t="str">
        <f>Spread!L28</f>
        <v>Expected profit(BPS)</v>
      </c>
      <c r="M2" s="140" t="str">
        <f>Spread!M28</f>
        <v xml:space="preserve">Threashhold </v>
      </c>
      <c r="N2" s="140" t="str">
        <f>Spread!N28</f>
        <v xml:space="preserve">Exit Decision </v>
      </c>
      <c r="O2" s="140" t="str">
        <f>Spread!O28</f>
        <v>Time</v>
      </c>
      <c r="P2" s="140" t="str">
        <f>Spread!P28</f>
        <v>Exit decision</v>
      </c>
      <c r="Q2" s="140" t="str">
        <f>Spread!Q28</f>
        <v xml:space="preserve">SiMSCI Futures Bid Price </v>
      </c>
      <c r="R2" s="140" t="str">
        <f>Spread!R28</f>
        <v>SiMSCI Futures Bid Size</v>
      </c>
      <c r="S2" s="140" t="str">
        <f>Spread!S28</f>
        <v xml:space="preserve">STI ETF Ask Price </v>
      </c>
      <c r="T2" s="140" t="str">
        <f>Spread!T28</f>
        <v>STI ETF Ask Size</v>
      </c>
      <c r="U2" s="140" t="str">
        <f>Spread!U28</f>
        <v>profit(BPS)</v>
      </c>
      <c r="V2" s="140" t="str">
        <f>Spread!V28</f>
        <v xml:space="preserve">Threashhold </v>
      </c>
      <c r="W2" s="140"/>
      <c r="Y2" s="39" t="s">
        <v>628</v>
      </c>
    </row>
    <row r="3" spans="1:25" x14ac:dyDescent="0.3">
      <c r="A3" s="155"/>
      <c r="B3" s="153">
        <f ca="1">Spread!B29</f>
        <v>44293.709094328704</v>
      </c>
      <c r="C3" s="154" t="e">
        <f ca="1">Spread!C29</f>
        <v>#NAME?</v>
      </c>
      <c r="D3" s="154" t="e">
        <f ca="1">Spread!D29</f>
        <v>#NAME?</v>
      </c>
      <c r="E3" s="163" t="e">
        <f ca="1">MIN(ROUNDDOWN(($Y$3/2)/(C3*100),0),D3)</f>
        <v>#NAME?</v>
      </c>
      <c r="F3" s="154" t="e">
        <f ca="1">Spread!F29</f>
        <v>#NAME?</v>
      </c>
      <c r="G3" s="154" t="e">
        <f ca="1">Spread!G29</f>
        <v>#NAME?</v>
      </c>
      <c r="H3" s="154" t="e">
        <f ca="1">Spread!H29</f>
        <v>#NAME?</v>
      </c>
      <c r="I3" s="154" t="e">
        <f ca="1">Spread!I29</f>
        <v>#NAME?</v>
      </c>
      <c r="J3" s="163" t="e">
        <f ca="1">ROUNDDOWN(F3/(G3*10),0)</f>
        <v>#NAME?</v>
      </c>
      <c r="K3" s="154" t="e">
        <f ca="1">Spread!K29</f>
        <v>#NAME?</v>
      </c>
      <c r="L3" s="154"/>
      <c r="M3" s="154">
        <f>Spread!M29</f>
        <v>5</v>
      </c>
      <c r="N3" s="154">
        <f>Spread!N29</f>
        <v>0</v>
      </c>
      <c r="O3" s="154">
        <f ca="1">Spread!O29</f>
        <v>44293.709094328704</v>
      </c>
      <c r="P3" s="154" t="e">
        <f ca="1">Spread!P29</f>
        <v>#NAME?</v>
      </c>
      <c r="Q3" s="154" t="e">
        <f ca="1">Spread!Q29</f>
        <v>#NAME?</v>
      </c>
      <c r="R3" s="154" t="e">
        <f ca="1">Spread!R29</f>
        <v>#NAME?</v>
      </c>
      <c r="S3" s="154" t="e">
        <f ca="1">Spread!S29</f>
        <v>#NAME?</v>
      </c>
      <c r="T3" s="154" t="e">
        <f ca="1">Spread!T29</f>
        <v>#NAME?</v>
      </c>
      <c r="U3" s="154">
        <f>Spread!U29</f>
        <v>0</v>
      </c>
      <c r="V3" s="154">
        <f>Spread!V29</f>
        <v>2</v>
      </c>
      <c r="W3" s="154"/>
      <c r="Y3" s="161">
        <f>Y11+SUM(V12:V99)</f>
        <v>1000000</v>
      </c>
    </row>
    <row r="6" spans="1:25" x14ac:dyDescent="0.3">
      <c r="A6" s="19" t="s">
        <v>623</v>
      </c>
      <c r="B6" s="19" t="str">
        <f>IF(COUNT(B10:B1000)&gt;COUNT(O10:O1000), "Entered", "Exited")</f>
        <v>Exited</v>
      </c>
      <c r="T6" s="157"/>
    </row>
    <row r="8" spans="1:25" x14ac:dyDescent="0.3">
      <c r="A8" s="19" t="s">
        <v>621</v>
      </c>
      <c r="C8" s="19" t="s">
        <v>625</v>
      </c>
      <c r="G8" s="19" t="s">
        <v>626</v>
      </c>
      <c r="Q8" s="19" t="s">
        <v>626</v>
      </c>
      <c r="T8" s="19" t="s">
        <v>627</v>
      </c>
      <c r="V8" s="80" t="s">
        <v>622</v>
      </c>
    </row>
    <row r="9" spans="1:25" x14ac:dyDescent="0.3">
      <c r="A9" s="155" t="s">
        <v>619</v>
      </c>
      <c r="B9" s="140" t="s">
        <v>588</v>
      </c>
      <c r="C9" s="140" t="s">
        <v>604</v>
      </c>
      <c r="D9" s="140" t="s">
        <v>606</v>
      </c>
      <c r="E9" s="140" t="s">
        <v>610</v>
      </c>
      <c r="F9" s="140" t="s">
        <v>596</v>
      </c>
      <c r="G9" s="140" t="s">
        <v>605</v>
      </c>
      <c r="H9" s="140" t="s">
        <v>607</v>
      </c>
      <c r="I9" s="140" t="s">
        <v>603</v>
      </c>
      <c r="J9" s="140" t="s">
        <v>611</v>
      </c>
      <c r="K9" s="140" t="s">
        <v>612</v>
      </c>
      <c r="L9" s="140" t="s">
        <v>609</v>
      </c>
      <c r="M9" s="140" t="s">
        <v>608</v>
      </c>
      <c r="N9" s="155" t="s">
        <v>620</v>
      </c>
      <c r="O9" s="158" t="s">
        <v>581</v>
      </c>
      <c r="P9" s="140" t="s">
        <v>618</v>
      </c>
      <c r="Q9" s="140" t="s">
        <v>613</v>
      </c>
      <c r="R9" s="140" t="s">
        <v>614</v>
      </c>
      <c r="S9" s="140"/>
      <c r="T9" s="140" t="s">
        <v>615</v>
      </c>
      <c r="U9" s="140" t="s">
        <v>616</v>
      </c>
      <c r="V9" s="140" t="s">
        <v>617</v>
      </c>
      <c r="W9" s="140" t="s">
        <v>608</v>
      </c>
      <c r="Y9" s="140" t="s">
        <v>624</v>
      </c>
    </row>
    <row r="10" spans="1:25" x14ac:dyDescent="0.3">
      <c r="A10" s="156">
        <v>0</v>
      </c>
      <c r="B10" s="156">
        <v>0</v>
      </c>
      <c r="C10" s="156">
        <v>0</v>
      </c>
      <c r="D10" s="156">
        <v>0</v>
      </c>
      <c r="E10" s="156">
        <v>0</v>
      </c>
      <c r="F10" s="156">
        <v>0</v>
      </c>
      <c r="G10" s="156">
        <v>0</v>
      </c>
      <c r="H10" s="156">
        <v>0</v>
      </c>
      <c r="I10" s="156">
        <v>0</v>
      </c>
      <c r="J10" s="156">
        <v>0</v>
      </c>
      <c r="K10" s="156">
        <v>0</v>
      </c>
      <c r="L10" s="156">
        <v>0</v>
      </c>
      <c r="M10" s="156">
        <v>0</v>
      </c>
      <c r="N10" s="156">
        <v>0</v>
      </c>
      <c r="O10" s="159">
        <v>0</v>
      </c>
      <c r="P10" s="156">
        <v>0</v>
      </c>
      <c r="Q10" s="156">
        <v>0</v>
      </c>
      <c r="R10" s="156">
        <v>0</v>
      </c>
      <c r="S10" s="156">
        <v>0</v>
      </c>
      <c r="T10" s="156">
        <v>0</v>
      </c>
      <c r="U10" s="156">
        <v>0</v>
      </c>
      <c r="V10" s="156">
        <v>0</v>
      </c>
      <c r="W10" s="156">
        <v>0</v>
      </c>
    </row>
    <row r="11" spans="1:25" x14ac:dyDescent="0.3">
      <c r="A11" s="156">
        <v>0</v>
      </c>
      <c r="B11" s="156">
        <v>0</v>
      </c>
      <c r="C11" s="156">
        <v>0</v>
      </c>
      <c r="D11" s="156">
        <v>0</v>
      </c>
      <c r="E11" s="156">
        <v>0</v>
      </c>
      <c r="F11" s="156">
        <v>0</v>
      </c>
      <c r="G11" s="156">
        <v>0</v>
      </c>
      <c r="H11" s="156">
        <v>0</v>
      </c>
      <c r="I11" s="156">
        <v>0</v>
      </c>
      <c r="J11" s="156">
        <v>0</v>
      </c>
      <c r="K11" s="156">
        <v>0</v>
      </c>
      <c r="L11" s="156">
        <v>0</v>
      </c>
      <c r="M11" s="156">
        <v>0</v>
      </c>
      <c r="N11" s="156">
        <v>0</v>
      </c>
      <c r="O11" s="159">
        <v>0</v>
      </c>
      <c r="P11" s="156">
        <v>0</v>
      </c>
      <c r="Q11" s="156">
        <v>0</v>
      </c>
      <c r="R11" s="156">
        <v>0</v>
      </c>
      <c r="S11" s="156">
        <v>0</v>
      </c>
      <c r="T11" s="156">
        <v>0</v>
      </c>
      <c r="U11" s="156">
        <v>0</v>
      </c>
      <c r="V11" s="156">
        <v>0</v>
      </c>
      <c r="W11" s="156">
        <v>0</v>
      </c>
      <c r="Y11" s="156">
        <v>1000000</v>
      </c>
    </row>
    <row r="12" spans="1:25" x14ac:dyDescent="0.3">
      <c r="O12" s="19"/>
    </row>
    <row r="13" spans="1:25" x14ac:dyDescent="0.3">
      <c r="B13" s="15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Y13"/>
  <sheetViews>
    <sheetView zoomScale="55" zoomScaleNormal="55" workbookViewId="0">
      <selection activeCell="Q23" sqref="Q23"/>
    </sheetView>
  </sheetViews>
  <sheetFormatPr defaultColWidth="9.109375" defaultRowHeight="14.4" x14ac:dyDescent="0.3"/>
  <cols>
    <col min="1" max="2" width="23.6640625" style="19" bestFit="1" customWidth="1"/>
    <col min="3" max="3" width="23.5546875" style="19" bestFit="1" customWidth="1"/>
    <col min="4" max="4" width="28.109375" style="19" bestFit="1" customWidth="1"/>
    <col min="5" max="5" width="26" style="19" bestFit="1" customWidth="1"/>
    <col min="6" max="6" width="23.44140625" style="19" bestFit="1" customWidth="1"/>
    <col min="7" max="7" width="21.33203125" style="19" bestFit="1" customWidth="1"/>
    <col min="8" max="9" width="26.44140625" style="19" bestFit="1" customWidth="1"/>
    <col min="10" max="10" width="19.6640625" style="19" bestFit="1" customWidth="1"/>
    <col min="11" max="11" width="23.5546875" style="19" bestFit="1" customWidth="1"/>
    <col min="12" max="12" width="23.33203125" style="19" bestFit="1" customWidth="1"/>
    <col min="13" max="13" width="12.44140625" style="19" bestFit="1" customWidth="1"/>
    <col min="14" max="14" width="12.6640625" style="19" bestFit="1" customWidth="1"/>
    <col min="15" max="15" width="14" style="153" bestFit="1" customWidth="1"/>
    <col min="16" max="16" width="14.44140625" style="19" bestFit="1" customWidth="1"/>
    <col min="17" max="17" width="29.6640625" style="19" bestFit="1" customWidth="1"/>
    <col min="18" max="18" width="27.109375" style="19" bestFit="1" customWidth="1"/>
    <col min="19" max="19" width="19.33203125" style="19" bestFit="1" customWidth="1"/>
    <col min="20" max="20" width="20.5546875" style="19" bestFit="1" customWidth="1"/>
    <col min="21" max="21" width="15.6640625" style="19" bestFit="1" customWidth="1"/>
    <col min="22" max="22" width="14.44140625" style="19" bestFit="1" customWidth="1"/>
    <col min="23" max="23" width="19.5546875" style="19" bestFit="1" customWidth="1"/>
    <col min="24" max="24" width="10.6640625" style="19" bestFit="1" customWidth="1"/>
    <col min="25" max="25" width="21.109375" style="19" bestFit="1" customWidth="1"/>
    <col min="26" max="16384" width="9.109375" style="19"/>
  </cols>
  <sheetData>
    <row r="1" spans="1:25" x14ac:dyDescent="0.3">
      <c r="A1" s="19" t="s">
        <v>602</v>
      </c>
    </row>
    <row r="2" spans="1:25" x14ac:dyDescent="0.3">
      <c r="A2" s="155" t="s">
        <v>619</v>
      </c>
      <c r="B2" s="140" t="str">
        <f>Spread!B35</f>
        <v xml:space="preserve">Time </v>
      </c>
      <c r="C2" s="140" t="str">
        <f>Spread!C35</f>
        <v xml:space="preserve">STI ETF Bid Price </v>
      </c>
      <c r="D2" s="140" t="str">
        <f>Spread!D35</f>
        <v>STI ETF Bid Size</v>
      </c>
      <c r="E2" s="140" t="str">
        <f>Spread!E35</f>
        <v>Number of contracts</v>
      </c>
      <c r="F2" s="140" t="str">
        <f>Spread!F35</f>
        <v>Dollar Value</v>
      </c>
      <c r="G2" s="140" t="str">
        <f>Spread!G35</f>
        <v xml:space="preserve">SiMSCI Futures Ask Price </v>
      </c>
      <c r="H2" s="140" t="str">
        <f>Spread!H35</f>
        <v>SiMSCI Futures Ask Size</v>
      </c>
      <c r="I2" s="140" t="str">
        <f>Spread!I35</f>
        <v xml:space="preserve">Entry decision </v>
      </c>
      <c r="J2" s="140" t="str">
        <f>Spread!J35</f>
        <v xml:space="preserve">Number of contracts </v>
      </c>
      <c r="K2" s="140" t="str">
        <f>Spread!K35</f>
        <v xml:space="preserve">Dollar Value </v>
      </c>
      <c r="L2" s="140" t="str">
        <f>Spread!L35</f>
        <v>Expected profit(BPS)</v>
      </c>
      <c r="M2" s="140" t="str">
        <f>Spread!M35</f>
        <v xml:space="preserve">Threashhold </v>
      </c>
      <c r="N2" s="140" t="str">
        <f>Spread!N35</f>
        <v xml:space="preserve">Exit Decision </v>
      </c>
      <c r="O2" s="140" t="str">
        <f>Spread!O35</f>
        <v>Time</v>
      </c>
      <c r="P2" s="140" t="str">
        <f>Spread!P35</f>
        <v>Exit decision</v>
      </c>
      <c r="Q2" s="140" t="str">
        <f>Spread!Q35</f>
        <v xml:space="preserve">STI ETF Ask Price </v>
      </c>
      <c r="R2" s="140" t="str">
        <f>Spread!R35</f>
        <v>STI ETF Ask Size</v>
      </c>
      <c r="S2" s="140" t="str">
        <f>Spread!S35</f>
        <v xml:space="preserve">SiMSCI Futures Bid Price </v>
      </c>
      <c r="T2" s="140" t="str">
        <f>Spread!T35</f>
        <v>SiMSCI Futures Bid Size</v>
      </c>
      <c r="U2" s="140" t="str">
        <f>Spread!U35</f>
        <v>profit(BPS)</v>
      </c>
      <c r="V2" s="140" t="str">
        <f>Spread!V35</f>
        <v xml:space="preserve">Threashhold </v>
      </c>
      <c r="W2" s="140"/>
      <c r="Y2" s="39" t="s">
        <v>628</v>
      </c>
    </row>
    <row r="3" spans="1:25" x14ac:dyDescent="0.3">
      <c r="A3" s="155"/>
      <c r="B3" s="153">
        <f ca="1">Spread!B36</f>
        <v>44293.709094328704</v>
      </c>
      <c r="C3" s="154" t="e">
        <f ca="1">Spread!C36</f>
        <v>#NAME?</v>
      </c>
      <c r="D3" s="154" t="e">
        <f ca="1">Spread!D36</f>
        <v>#NAME?</v>
      </c>
      <c r="E3" s="163" t="e">
        <f ca="1">Spread!E36</f>
        <v>#NAME?</v>
      </c>
      <c r="F3" s="154" t="e">
        <f ca="1">Spread!F36</f>
        <v>#NAME?</v>
      </c>
      <c r="G3" s="154" t="e">
        <f ca="1">Spread!G36</f>
        <v>#NAME?</v>
      </c>
      <c r="H3" s="154" t="e">
        <f ca="1">Spread!H36</f>
        <v>#NAME?</v>
      </c>
      <c r="I3" s="154" t="e">
        <f ca="1">Spread!I36</f>
        <v>#NAME?</v>
      </c>
      <c r="J3" s="154" t="e">
        <f ca="1">Spread!J36</f>
        <v>#NAME?</v>
      </c>
      <c r="K3" s="154" t="e">
        <f ca="1">Spread!K36</f>
        <v>#NAME?</v>
      </c>
      <c r="L3" s="154" t="e">
        <f ca="1">Spread!L36</f>
        <v>#NAME?</v>
      </c>
      <c r="M3" s="154">
        <f>Spread!M36</f>
        <v>5</v>
      </c>
      <c r="N3" s="154">
        <f>Spread!N36</f>
        <v>0</v>
      </c>
      <c r="O3" s="154">
        <f ca="1">Spread!O36</f>
        <v>44293.709094328704</v>
      </c>
      <c r="P3" s="154" t="e">
        <f ca="1">Spread!P36</f>
        <v>#NAME?</v>
      </c>
      <c r="Q3" s="154" t="e">
        <f ca="1">Spread!Q36</f>
        <v>#NAME?</v>
      </c>
      <c r="R3" s="154" t="e">
        <f ca="1">Spread!R36</f>
        <v>#NAME?</v>
      </c>
      <c r="S3" s="154" t="e">
        <f ca="1">Spread!S36</f>
        <v>#NAME?</v>
      </c>
      <c r="T3" s="154" t="e">
        <f ca="1">Spread!T36</f>
        <v>#NAME?</v>
      </c>
      <c r="U3" s="154">
        <f>Spread!U36</f>
        <v>0</v>
      </c>
      <c r="V3" s="154">
        <f>Spread!V36</f>
        <v>2</v>
      </c>
      <c r="W3" s="154"/>
      <c r="Y3" s="161">
        <f>Y11+SUM(V12:V99)</f>
        <v>1000000</v>
      </c>
    </row>
    <row r="6" spans="1:25" x14ac:dyDescent="0.3">
      <c r="A6" s="19" t="s">
        <v>623</v>
      </c>
      <c r="B6" s="19" t="str">
        <f>IF(COUNT(B10:B1000)&gt;COUNT(O10:O1000), "Entered", "Exited")</f>
        <v>Exited</v>
      </c>
      <c r="T6" s="157"/>
    </row>
    <row r="8" spans="1:25" x14ac:dyDescent="0.3">
      <c r="A8" s="19" t="s">
        <v>621</v>
      </c>
      <c r="C8" s="19" t="s">
        <v>625</v>
      </c>
      <c r="G8" s="19" t="s">
        <v>626</v>
      </c>
      <c r="Q8" s="19" t="s">
        <v>626</v>
      </c>
      <c r="T8" s="19" t="s">
        <v>627</v>
      </c>
      <c r="V8" s="80" t="s">
        <v>622</v>
      </c>
    </row>
    <row r="9" spans="1:25" x14ac:dyDescent="0.3">
      <c r="A9" s="155" t="s">
        <v>619</v>
      </c>
      <c r="B9" s="140" t="s">
        <v>588</v>
      </c>
      <c r="C9" s="140" t="s">
        <v>604</v>
      </c>
      <c r="D9" s="140" t="s">
        <v>606</v>
      </c>
      <c r="E9" s="140" t="s">
        <v>610</v>
      </c>
      <c r="F9" s="140" t="s">
        <v>596</v>
      </c>
      <c r="G9" s="140" t="s">
        <v>605</v>
      </c>
      <c r="H9" s="140" t="s">
        <v>607</v>
      </c>
      <c r="I9" s="140" t="s">
        <v>603</v>
      </c>
      <c r="J9" s="140" t="s">
        <v>611</v>
      </c>
      <c r="K9" s="140" t="s">
        <v>612</v>
      </c>
      <c r="L9" s="140" t="s">
        <v>609</v>
      </c>
      <c r="M9" s="140" t="s">
        <v>608</v>
      </c>
      <c r="N9" s="155" t="s">
        <v>620</v>
      </c>
      <c r="O9" s="158" t="s">
        <v>581</v>
      </c>
      <c r="P9" s="140" t="s">
        <v>618</v>
      </c>
      <c r="Q9" s="140" t="s">
        <v>613</v>
      </c>
      <c r="R9" s="140" t="s">
        <v>614</v>
      </c>
      <c r="S9" s="140"/>
      <c r="T9" s="140" t="s">
        <v>615</v>
      </c>
      <c r="U9" s="140" t="s">
        <v>616</v>
      </c>
      <c r="V9" s="140" t="s">
        <v>617</v>
      </c>
      <c r="W9" s="140" t="s">
        <v>608</v>
      </c>
      <c r="Y9" s="140" t="s">
        <v>624</v>
      </c>
    </row>
    <row r="10" spans="1:25" x14ac:dyDescent="0.3">
      <c r="A10" s="156">
        <v>0</v>
      </c>
      <c r="B10" s="156">
        <v>0</v>
      </c>
      <c r="C10" s="156">
        <v>0</v>
      </c>
      <c r="D10" s="156">
        <v>0</v>
      </c>
      <c r="E10" s="156">
        <v>0</v>
      </c>
      <c r="F10" s="156">
        <v>0</v>
      </c>
      <c r="G10" s="156">
        <v>0</v>
      </c>
      <c r="H10" s="156">
        <v>0</v>
      </c>
      <c r="I10" s="156">
        <v>0</v>
      </c>
      <c r="J10" s="156">
        <v>0</v>
      </c>
      <c r="K10" s="156">
        <v>0</v>
      </c>
      <c r="L10" s="156">
        <v>0</v>
      </c>
      <c r="M10" s="156">
        <v>0</v>
      </c>
      <c r="N10" s="156">
        <v>0</v>
      </c>
      <c r="O10" s="159">
        <v>0</v>
      </c>
      <c r="P10" s="156">
        <v>0</v>
      </c>
      <c r="Q10" s="156">
        <v>0</v>
      </c>
      <c r="R10" s="156">
        <v>0</v>
      </c>
      <c r="S10" s="156">
        <v>0</v>
      </c>
      <c r="T10" s="156">
        <v>0</v>
      </c>
      <c r="U10" s="156">
        <v>0</v>
      </c>
      <c r="V10" s="156">
        <v>0</v>
      </c>
      <c r="W10" s="156">
        <v>0</v>
      </c>
    </row>
    <row r="11" spans="1:25" x14ac:dyDescent="0.3">
      <c r="A11" s="156">
        <v>0</v>
      </c>
      <c r="B11" s="156">
        <v>0</v>
      </c>
      <c r="C11" s="156">
        <v>0</v>
      </c>
      <c r="D11" s="156">
        <v>0</v>
      </c>
      <c r="E11" s="156">
        <v>0</v>
      </c>
      <c r="F11" s="156">
        <v>0</v>
      </c>
      <c r="G11" s="156">
        <v>0</v>
      </c>
      <c r="H11" s="156">
        <v>0</v>
      </c>
      <c r="I11" s="156">
        <v>0</v>
      </c>
      <c r="J11" s="156">
        <v>0</v>
      </c>
      <c r="K11" s="156">
        <v>0</v>
      </c>
      <c r="L11" s="156">
        <v>0</v>
      </c>
      <c r="M11" s="156">
        <v>0</v>
      </c>
      <c r="N11" s="156">
        <v>0</v>
      </c>
      <c r="O11" s="159">
        <v>0</v>
      </c>
      <c r="P11" s="156">
        <v>0</v>
      </c>
      <c r="Q11" s="156">
        <v>0</v>
      </c>
      <c r="R11" s="156">
        <v>0</v>
      </c>
      <c r="S11" s="156">
        <v>0</v>
      </c>
      <c r="T11" s="156">
        <v>0</v>
      </c>
      <c r="U11" s="156">
        <v>0</v>
      </c>
      <c r="V11" s="156">
        <v>0</v>
      </c>
      <c r="W11" s="156">
        <v>0</v>
      </c>
      <c r="Y11" s="156">
        <v>1000000</v>
      </c>
    </row>
    <row r="12" spans="1:25" x14ac:dyDescent="0.3">
      <c r="O12" s="19"/>
    </row>
    <row r="13" spans="1:25" x14ac:dyDescent="0.3">
      <c r="B13" s="1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Y13"/>
  <sheetViews>
    <sheetView zoomScale="55" zoomScaleNormal="55" workbookViewId="0">
      <selection activeCell="E3" sqref="E3"/>
    </sheetView>
  </sheetViews>
  <sheetFormatPr defaultColWidth="9.109375" defaultRowHeight="14.4" x14ac:dyDescent="0.3"/>
  <cols>
    <col min="1" max="2" width="23.6640625" style="19" bestFit="1" customWidth="1"/>
    <col min="3" max="3" width="23.5546875" style="19" bestFit="1" customWidth="1"/>
    <col min="4" max="4" width="28.109375" style="19" bestFit="1" customWidth="1"/>
    <col min="5" max="5" width="26" style="19" bestFit="1" customWidth="1"/>
    <col min="6" max="6" width="23.44140625" style="19" bestFit="1" customWidth="1"/>
    <col min="7" max="7" width="21.33203125" style="19" bestFit="1" customWidth="1"/>
    <col min="8" max="9" width="26.44140625" style="19" bestFit="1" customWidth="1"/>
    <col min="10" max="10" width="19.6640625" style="19" bestFit="1" customWidth="1"/>
    <col min="11" max="11" width="23.5546875" style="19" bestFit="1" customWidth="1"/>
    <col min="12" max="12" width="23.33203125" style="19" bestFit="1" customWidth="1"/>
    <col min="13" max="13" width="12.44140625" style="19" bestFit="1" customWidth="1"/>
    <col min="14" max="14" width="12.6640625" style="19" bestFit="1" customWidth="1"/>
    <col min="15" max="15" width="14" style="153" bestFit="1" customWidth="1"/>
    <col min="16" max="16" width="14.44140625" style="19" bestFit="1" customWidth="1"/>
    <col min="17" max="17" width="29.6640625" style="19" bestFit="1" customWidth="1"/>
    <col min="18" max="18" width="27.109375" style="19" bestFit="1" customWidth="1"/>
    <col min="19" max="19" width="19.33203125" style="19" bestFit="1" customWidth="1"/>
    <col min="20" max="20" width="20.5546875" style="19" bestFit="1" customWidth="1"/>
    <col min="21" max="21" width="15.6640625" style="19" bestFit="1" customWidth="1"/>
    <col min="22" max="22" width="14.44140625" style="19" bestFit="1" customWidth="1"/>
    <col min="23" max="23" width="19.5546875" style="19" bestFit="1" customWidth="1"/>
    <col min="24" max="24" width="10.6640625" style="19" bestFit="1" customWidth="1"/>
    <col min="25" max="25" width="21.109375" style="19" bestFit="1" customWidth="1"/>
    <col min="26" max="16384" width="9.109375" style="19"/>
  </cols>
  <sheetData>
    <row r="1" spans="1:25" x14ac:dyDescent="0.3">
      <c r="A1" s="19" t="s">
        <v>602</v>
      </c>
    </row>
    <row r="2" spans="1:25" x14ac:dyDescent="0.3">
      <c r="A2" s="155" t="s">
        <v>619</v>
      </c>
      <c r="B2" s="140" t="str">
        <f>Spread!B41</f>
        <v xml:space="preserve">Time </v>
      </c>
      <c r="C2" s="140" t="str">
        <f>Spread!C41</f>
        <v xml:space="preserve">STI ETF Ask Price </v>
      </c>
      <c r="D2" s="140" t="str">
        <f>Spread!D41</f>
        <v>STI ETF Ask Size</v>
      </c>
      <c r="E2" s="140" t="str">
        <f>Spread!E41</f>
        <v>Number of contracts</v>
      </c>
      <c r="F2" s="140" t="str">
        <f>Spread!F41</f>
        <v>Dollar Value</v>
      </c>
      <c r="G2" s="140" t="str">
        <f>Spread!G41</f>
        <v xml:space="preserve">SiMSCI Futures Bid Price </v>
      </c>
      <c r="H2" s="140" t="str">
        <f>Spread!H41</f>
        <v>SiMSCI Futures Bid Size</v>
      </c>
      <c r="I2" s="140" t="str">
        <f>Spread!I41</f>
        <v xml:space="preserve">Entry decision </v>
      </c>
      <c r="J2" s="140" t="str">
        <f>Spread!J41</f>
        <v xml:space="preserve">Number of contracts </v>
      </c>
      <c r="K2" s="140" t="str">
        <f>Spread!K41</f>
        <v xml:space="preserve">Dollar Value </v>
      </c>
      <c r="L2" s="140" t="str">
        <f>Spread!L41</f>
        <v>Expected profit(BPS)</v>
      </c>
      <c r="M2" s="140" t="str">
        <f>Spread!M41</f>
        <v xml:space="preserve">Threashhold </v>
      </c>
      <c r="N2" s="140" t="str">
        <f>Spread!N41</f>
        <v xml:space="preserve">Exit Decision </v>
      </c>
      <c r="O2" s="140" t="str">
        <f>Spread!O41</f>
        <v>Time</v>
      </c>
      <c r="P2" s="140" t="str">
        <f>Spread!P41</f>
        <v>Exit decision</v>
      </c>
      <c r="Q2" s="140" t="str">
        <f>Spread!Q41</f>
        <v xml:space="preserve">STI ETF Bid Price </v>
      </c>
      <c r="R2" s="140" t="str">
        <f>Spread!R41</f>
        <v>STI ETF Bid Size</v>
      </c>
      <c r="S2" s="140" t="str">
        <f>Spread!S41</f>
        <v xml:space="preserve">SiMSCI Futures Ask Price </v>
      </c>
      <c r="T2" s="140" t="str">
        <f>Spread!T41</f>
        <v>SiMSCI Futures Ask Size</v>
      </c>
      <c r="U2" s="140" t="str">
        <f>Spread!U41</f>
        <v>profit(BPS)</v>
      </c>
      <c r="V2" s="140" t="str">
        <f>Spread!V41</f>
        <v xml:space="preserve">Threashhold </v>
      </c>
      <c r="W2" s="140"/>
      <c r="Y2" s="39" t="s">
        <v>628</v>
      </c>
    </row>
    <row r="3" spans="1:25" x14ac:dyDescent="0.3">
      <c r="A3" s="155"/>
      <c r="B3" s="153">
        <f ca="1">Spread!B42</f>
        <v>44293.709094328704</v>
      </c>
      <c r="C3" s="154" t="e">
        <f ca="1">Spread!C42</f>
        <v>#NAME?</v>
      </c>
      <c r="D3" s="154" t="e">
        <f ca="1">Spread!D42</f>
        <v>#NAME?</v>
      </c>
      <c r="E3" s="163" t="e">
        <f ca="1">Spread!E42</f>
        <v>#NAME?</v>
      </c>
      <c r="F3" s="154" t="e">
        <f ca="1">Spread!F42</f>
        <v>#NAME?</v>
      </c>
      <c r="G3" s="154" t="e">
        <f ca="1">Spread!G42</f>
        <v>#NAME?</v>
      </c>
      <c r="H3" s="154" t="e">
        <f ca="1">Spread!H42</f>
        <v>#NAME?</v>
      </c>
      <c r="I3" s="154" t="e">
        <f ca="1">Spread!I42</f>
        <v>#NAME?</v>
      </c>
      <c r="J3" s="154" t="e">
        <f ca="1">Spread!J42</f>
        <v>#NAME?</v>
      </c>
      <c r="K3" s="154" t="e">
        <f ca="1">Spread!K42</f>
        <v>#NAME?</v>
      </c>
      <c r="L3" s="154" t="e">
        <f ca="1">Spread!L42</f>
        <v>#NAME?</v>
      </c>
      <c r="M3" s="154">
        <f>Spread!M42</f>
        <v>5</v>
      </c>
      <c r="N3" s="154">
        <f>Spread!N42</f>
        <v>0</v>
      </c>
      <c r="O3" s="154">
        <f ca="1">Spread!O42</f>
        <v>44293.709094328704</v>
      </c>
      <c r="P3" s="154" t="e">
        <f ca="1">Spread!P42</f>
        <v>#NAME?</v>
      </c>
      <c r="Q3" s="154" t="e">
        <f ca="1">Spread!Q42</f>
        <v>#NAME?</v>
      </c>
      <c r="R3" s="154" t="e">
        <f ca="1">Spread!R42</f>
        <v>#NAME?</v>
      </c>
      <c r="S3" s="154" t="e">
        <f ca="1">Spread!S42</f>
        <v>#NAME?</v>
      </c>
      <c r="T3" s="154" t="e">
        <f ca="1">Spread!T42</f>
        <v>#NAME?</v>
      </c>
      <c r="U3" s="154">
        <f>Spread!U42</f>
        <v>0</v>
      </c>
      <c r="V3" s="154">
        <f>Spread!V42</f>
        <v>2</v>
      </c>
      <c r="W3" s="154"/>
      <c r="Y3" s="161">
        <f>Y11+SUM(V12:V99)</f>
        <v>1000000</v>
      </c>
    </row>
    <row r="6" spans="1:25" x14ac:dyDescent="0.3">
      <c r="A6" s="19" t="s">
        <v>623</v>
      </c>
      <c r="B6" s="19" t="str">
        <f>IF(COUNT(B10:B1000)&gt;COUNT(O10:O1000), "Entered", "Exited")</f>
        <v>Exited</v>
      </c>
      <c r="T6" s="157"/>
    </row>
    <row r="8" spans="1:25" x14ac:dyDescent="0.3">
      <c r="A8" s="19" t="s">
        <v>621</v>
      </c>
      <c r="C8" s="19" t="s">
        <v>625</v>
      </c>
      <c r="G8" s="19" t="s">
        <v>626</v>
      </c>
      <c r="Q8" s="19" t="s">
        <v>626</v>
      </c>
      <c r="T8" s="19" t="s">
        <v>627</v>
      </c>
      <c r="V8" s="80" t="s">
        <v>622</v>
      </c>
    </row>
    <row r="9" spans="1:25" x14ac:dyDescent="0.3">
      <c r="A9" s="155" t="s">
        <v>619</v>
      </c>
      <c r="B9" s="140" t="s">
        <v>588</v>
      </c>
      <c r="C9" s="140" t="s">
        <v>604</v>
      </c>
      <c r="D9" s="140" t="s">
        <v>606</v>
      </c>
      <c r="E9" s="140" t="s">
        <v>610</v>
      </c>
      <c r="F9" s="140" t="s">
        <v>596</v>
      </c>
      <c r="G9" s="140" t="s">
        <v>605</v>
      </c>
      <c r="H9" s="140" t="s">
        <v>607</v>
      </c>
      <c r="I9" s="140" t="s">
        <v>603</v>
      </c>
      <c r="J9" s="140" t="s">
        <v>611</v>
      </c>
      <c r="K9" s="140" t="s">
        <v>612</v>
      </c>
      <c r="L9" s="140" t="s">
        <v>609</v>
      </c>
      <c r="M9" s="140" t="s">
        <v>608</v>
      </c>
      <c r="N9" s="155" t="s">
        <v>620</v>
      </c>
      <c r="O9" s="158" t="s">
        <v>581</v>
      </c>
      <c r="P9" s="140" t="s">
        <v>618</v>
      </c>
      <c r="Q9" s="140" t="s">
        <v>613</v>
      </c>
      <c r="R9" s="140" t="s">
        <v>614</v>
      </c>
      <c r="S9" s="140"/>
      <c r="T9" s="140" t="s">
        <v>615</v>
      </c>
      <c r="U9" s="140" t="s">
        <v>616</v>
      </c>
      <c r="V9" s="140" t="s">
        <v>617</v>
      </c>
      <c r="W9" s="140" t="s">
        <v>608</v>
      </c>
      <c r="Y9" s="140" t="s">
        <v>624</v>
      </c>
    </row>
    <row r="10" spans="1:25" x14ac:dyDescent="0.3">
      <c r="A10" s="156">
        <v>0</v>
      </c>
      <c r="B10" s="156">
        <v>0</v>
      </c>
      <c r="C10" s="156">
        <v>0</v>
      </c>
      <c r="D10" s="156">
        <v>0</v>
      </c>
      <c r="E10" s="156">
        <v>0</v>
      </c>
      <c r="F10" s="156">
        <v>0</v>
      </c>
      <c r="G10" s="156">
        <v>0</v>
      </c>
      <c r="H10" s="156">
        <v>0</v>
      </c>
      <c r="I10" s="156">
        <v>0</v>
      </c>
      <c r="J10" s="156">
        <v>0</v>
      </c>
      <c r="K10" s="156">
        <v>0</v>
      </c>
      <c r="L10" s="156">
        <v>0</v>
      </c>
      <c r="M10" s="156">
        <v>0</v>
      </c>
      <c r="N10" s="156">
        <v>0</v>
      </c>
      <c r="O10" s="159">
        <v>0</v>
      </c>
      <c r="P10" s="156">
        <v>0</v>
      </c>
      <c r="Q10" s="156">
        <v>0</v>
      </c>
      <c r="R10" s="156">
        <v>0</v>
      </c>
      <c r="S10" s="156">
        <v>0</v>
      </c>
      <c r="T10" s="156">
        <v>0</v>
      </c>
      <c r="U10" s="156">
        <v>0</v>
      </c>
      <c r="V10" s="156">
        <v>0</v>
      </c>
      <c r="W10" s="156">
        <v>0</v>
      </c>
    </row>
    <row r="11" spans="1:25" x14ac:dyDescent="0.3">
      <c r="A11" s="156">
        <v>0</v>
      </c>
      <c r="B11" s="156">
        <v>0</v>
      </c>
      <c r="C11" s="156">
        <v>0</v>
      </c>
      <c r="D11" s="156">
        <v>0</v>
      </c>
      <c r="E11" s="156">
        <v>0</v>
      </c>
      <c r="F11" s="156">
        <v>0</v>
      </c>
      <c r="G11" s="156">
        <v>0</v>
      </c>
      <c r="H11" s="156">
        <v>0</v>
      </c>
      <c r="I11" s="156">
        <v>0</v>
      </c>
      <c r="J11" s="156">
        <v>0</v>
      </c>
      <c r="K11" s="156">
        <v>0</v>
      </c>
      <c r="L11" s="156">
        <v>0</v>
      </c>
      <c r="M11" s="156">
        <v>0</v>
      </c>
      <c r="N11" s="156">
        <v>0</v>
      </c>
      <c r="O11" s="159">
        <v>0</v>
      </c>
      <c r="P11" s="156">
        <v>0</v>
      </c>
      <c r="Q11" s="156">
        <v>0</v>
      </c>
      <c r="R11" s="156">
        <v>0</v>
      </c>
      <c r="S11" s="156">
        <v>0</v>
      </c>
      <c r="T11" s="156">
        <v>0</v>
      </c>
      <c r="U11" s="156">
        <v>0</v>
      </c>
      <c r="V11" s="156">
        <v>0</v>
      </c>
      <c r="W11" s="156">
        <v>0</v>
      </c>
      <c r="Y11" s="156">
        <v>1000000</v>
      </c>
    </row>
    <row r="12" spans="1:25" x14ac:dyDescent="0.3">
      <c r="O12" s="19"/>
    </row>
    <row r="13" spans="1:25" x14ac:dyDescent="0.3">
      <c r="B13" s="153"/>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U68"/>
  <sheetViews>
    <sheetView zoomScale="70" zoomScaleNormal="70" workbookViewId="0">
      <selection activeCell="G55" sqref="G55"/>
    </sheetView>
  </sheetViews>
  <sheetFormatPr defaultRowHeight="14.4" x14ac:dyDescent="0.3"/>
  <cols>
    <col min="1" max="1" width="12.5546875" bestFit="1" customWidth="1"/>
    <col min="4" max="4" width="18.33203125" bestFit="1" customWidth="1"/>
    <col min="5" max="5" width="15.33203125" bestFit="1" customWidth="1"/>
    <col min="6" max="6" width="11.5546875" bestFit="1" customWidth="1"/>
    <col min="7" max="7" width="66.88671875" bestFit="1" customWidth="1"/>
    <col min="8" max="8" width="10.109375" bestFit="1" customWidth="1"/>
    <col min="9" max="9" width="11.109375" bestFit="1" customWidth="1"/>
    <col min="10" max="10" width="11.6640625" bestFit="1" customWidth="1"/>
    <col min="12" max="12" width="12.44140625" bestFit="1" customWidth="1"/>
    <col min="13" max="13" width="21" bestFit="1" customWidth="1"/>
    <col min="14" max="14" width="14.44140625" bestFit="1" customWidth="1"/>
    <col min="18" max="18" width="33" bestFit="1" customWidth="1"/>
    <col min="19" max="19" width="11.44140625" bestFit="1" customWidth="1"/>
    <col min="20" max="20" width="11.5546875" bestFit="1" customWidth="1"/>
    <col min="21" max="21" width="11" bestFit="1" customWidth="1"/>
  </cols>
  <sheetData>
    <row r="1" spans="1:21" ht="43.8" thickBot="1" x14ac:dyDescent="0.35">
      <c r="A1" s="130">
        <v>44291</v>
      </c>
      <c r="B1" s="19"/>
      <c r="C1" s="85" t="s">
        <v>408</v>
      </c>
      <c r="D1" s="45" t="s">
        <v>409</v>
      </c>
      <c r="E1" s="46">
        <v>44286</v>
      </c>
      <c r="F1" s="19"/>
      <c r="G1" s="80" t="s">
        <v>410</v>
      </c>
      <c r="H1" s="19"/>
      <c r="I1" s="19"/>
      <c r="J1" s="19"/>
      <c r="K1" s="35"/>
      <c r="L1" s="38" t="s">
        <v>411</v>
      </c>
      <c r="M1" s="19"/>
      <c r="N1" s="19"/>
      <c r="O1" s="19"/>
      <c r="P1" s="19"/>
      <c r="Q1" s="38" t="s">
        <v>412</v>
      </c>
      <c r="R1" s="19"/>
      <c r="S1" s="19"/>
      <c r="T1" s="19"/>
      <c r="U1" s="19"/>
    </row>
    <row r="2" spans="1:21" ht="43.2" x14ac:dyDescent="0.3">
      <c r="A2" s="68"/>
      <c r="B2" s="36"/>
      <c r="C2" s="21" t="s">
        <v>413</v>
      </c>
      <c r="D2" s="21" t="s">
        <v>414</v>
      </c>
      <c r="E2" s="22" t="s">
        <v>415</v>
      </c>
      <c r="F2" s="23" t="s">
        <v>416</v>
      </c>
      <c r="G2" s="24" t="s">
        <v>417</v>
      </c>
      <c r="H2" s="25" t="s">
        <v>418</v>
      </c>
      <c r="I2" s="25" t="s">
        <v>419</v>
      </c>
      <c r="J2" s="22" t="s">
        <v>420</v>
      </c>
      <c r="K2" s="71"/>
      <c r="L2" s="37" t="s">
        <v>413</v>
      </c>
      <c r="M2" s="21" t="s">
        <v>414</v>
      </c>
      <c r="N2" s="22" t="s">
        <v>415</v>
      </c>
      <c r="O2" s="23" t="s">
        <v>421</v>
      </c>
      <c r="P2" s="19"/>
      <c r="Q2" s="37" t="s">
        <v>413</v>
      </c>
      <c r="R2" s="21" t="s">
        <v>414</v>
      </c>
      <c r="S2" s="22" t="s">
        <v>415</v>
      </c>
      <c r="T2" s="23" t="s">
        <v>416</v>
      </c>
      <c r="U2" s="22" t="s">
        <v>420</v>
      </c>
    </row>
    <row r="3" spans="1:21" x14ac:dyDescent="0.3">
      <c r="A3" s="49"/>
      <c r="B3" s="33"/>
      <c r="C3" s="67" t="s">
        <v>422</v>
      </c>
      <c r="D3" s="48" t="s">
        <v>423</v>
      </c>
      <c r="E3" s="99">
        <v>44236</v>
      </c>
      <c r="F3" s="62">
        <v>1.678E-2</v>
      </c>
      <c r="G3" s="27">
        <v>7.9806569919902301E-2</v>
      </c>
      <c r="H3" s="28">
        <v>0</v>
      </c>
      <c r="I3" s="29">
        <v>0</v>
      </c>
      <c r="J3" s="64">
        <v>44229</v>
      </c>
      <c r="K3" s="41"/>
      <c r="L3" s="48" t="s">
        <v>424</v>
      </c>
      <c r="M3" s="48" t="s">
        <v>423</v>
      </c>
      <c r="N3" s="99">
        <v>44152</v>
      </c>
      <c r="O3" s="62">
        <v>5.74E-2</v>
      </c>
      <c r="P3" s="19"/>
      <c r="Q3" s="48" t="s">
        <v>425</v>
      </c>
      <c r="R3" s="48" t="s">
        <v>407</v>
      </c>
      <c r="S3" s="64">
        <v>44054</v>
      </c>
      <c r="T3" s="61">
        <v>5.8999999999999997E-2</v>
      </c>
      <c r="U3" s="74">
        <v>44046</v>
      </c>
    </row>
    <row r="4" spans="1:21" x14ac:dyDescent="0.3">
      <c r="A4" s="35"/>
      <c r="B4" s="33"/>
      <c r="C4" s="67" t="s">
        <v>426</v>
      </c>
      <c r="D4" s="48" t="s">
        <v>427</v>
      </c>
      <c r="E4" s="123">
        <v>44339</v>
      </c>
      <c r="F4" s="61">
        <v>0.09</v>
      </c>
      <c r="G4" s="27">
        <v>0.35130548912013532</v>
      </c>
      <c r="H4" s="28">
        <v>0</v>
      </c>
      <c r="I4" s="76">
        <v>0.35130548912013532</v>
      </c>
      <c r="J4" s="64">
        <v>44251</v>
      </c>
      <c r="K4" s="95"/>
      <c r="L4" s="48" t="s">
        <v>428</v>
      </c>
      <c r="M4" s="48" t="s">
        <v>427</v>
      </c>
      <c r="N4" s="123">
        <v>44309</v>
      </c>
      <c r="O4" s="119">
        <v>0.09</v>
      </c>
      <c r="P4" s="19"/>
      <c r="Q4" s="67" t="s">
        <v>429</v>
      </c>
      <c r="R4" s="67" t="s">
        <v>430</v>
      </c>
      <c r="S4" s="113">
        <v>44054</v>
      </c>
      <c r="T4" s="114">
        <v>5.8999999999999997E-2</v>
      </c>
      <c r="U4" s="115">
        <v>44046</v>
      </c>
    </row>
    <row r="5" spans="1:21" x14ac:dyDescent="0.3">
      <c r="A5" s="35"/>
      <c r="B5" s="33"/>
      <c r="C5" s="48" t="s">
        <v>431</v>
      </c>
      <c r="D5" s="48" t="s">
        <v>432</v>
      </c>
      <c r="E5" s="99">
        <v>44224</v>
      </c>
      <c r="F5" s="61">
        <v>1.7399999999999999E-2</v>
      </c>
      <c r="G5" s="27">
        <v>0.11659631959927218</v>
      </c>
      <c r="H5" s="28">
        <v>0</v>
      </c>
      <c r="I5" s="76">
        <v>0</v>
      </c>
      <c r="J5" s="74">
        <v>44217</v>
      </c>
      <c r="K5" s="96"/>
      <c r="L5" s="48" t="s">
        <v>433</v>
      </c>
      <c r="M5" s="48" t="s">
        <v>432</v>
      </c>
      <c r="N5" s="75">
        <v>44123</v>
      </c>
      <c r="O5" s="61">
        <v>3.9899999999999998E-2</v>
      </c>
      <c r="P5" s="19"/>
      <c r="Q5" s="67" t="s">
        <v>434</v>
      </c>
      <c r="R5" s="67" t="s">
        <v>435</v>
      </c>
      <c r="S5" s="113">
        <v>44054</v>
      </c>
      <c r="T5" s="114">
        <v>5.8999999999999997E-2</v>
      </c>
      <c r="U5" s="115">
        <v>44046</v>
      </c>
    </row>
    <row r="6" spans="1:21" x14ac:dyDescent="0.3">
      <c r="A6" s="35"/>
      <c r="B6" s="33"/>
      <c r="C6" s="48" t="s">
        <v>436</v>
      </c>
      <c r="D6" s="48" t="s">
        <v>437</v>
      </c>
      <c r="E6" s="75">
        <v>44321</v>
      </c>
      <c r="F6" s="61">
        <v>0.12</v>
      </c>
      <c r="G6" s="27">
        <v>8.0713267915393863E-2</v>
      </c>
      <c r="H6" s="28">
        <v>0</v>
      </c>
      <c r="I6" s="76">
        <v>8.0713267915393863E-2</v>
      </c>
      <c r="J6" s="74">
        <v>44253</v>
      </c>
      <c r="K6" s="96"/>
      <c r="L6" s="48" t="s">
        <v>438</v>
      </c>
      <c r="M6" s="48" t="s">
        <v>437</v>
      </c>
      <c r="N6" s="64">
        <v>44321</v>
      </c>
      <c r="O6" s="119">
        <v>0.12</v>
      </c>
      <c r="P6" s="19"/>
      <c r="Q6" s="67" t="s">
        <v>439</v>
      </c>
      <c r="R6" s="67" t="s">
        <v>440</v>
      </c>
      <c r="S6" s="113">
        <v>44054</v>
      </c>
      <c r="T6" s="114">
        <v>5.8999999999999997E-2</v>
      </c>
      <c r="U6" s="115">
        <v>44046</v>
      </c>
    </row>
    <row r="7" spans="1:21" x14ac:dyDescent="0.3">
      <c r="A7" s="49"/>
      <c r="B7" s="50"/>
      <c r="C7" s="48" t="s">
        <v>441</v>
      </c>
      <c r="D7" s="48" t="s">
        <v>442</v>
      </c>
      <c r="E7" s="99">
        <v>44293</v>
      </c>
      <c r="F7" s="62">
        <v>0.18</v>
      </c>
      <c r="G7" s="27">
        <v>0.47833661891333046</v>
      </c>
      <c r="H7" s="28">
        <v>0.47833661891333046</v>
      </c>
      <c r="I7" s="76">
        <v>0.47833661891333046</v>
      </c>
      <c r="J7" s="64">
        <v>44237</v>
      </c>
      <c r="K7" s="96"/>
      <c r="L7" s="48" t="s">
        <v>443</v>
      </c>
      <c r="M7" s="48" t="s">
        <v>444</v>
      </c>
      <c r="N7" s="118">
        <v>44323</v>
      </c>
      <c r="O7" s="119">
        <v>1.43E-2</v>
      </c>
      <c r="P7" s="19"/>
      <c r="Q7" s="67" t="s">
        <v>445</v>
      </c>
      <c r="R7" s="67" t="s">
        <v>446</v>
      </c>
      <c r="S7" s="113">
        <v>44054</v>
      </c>
      <c r="T7" s="114">
        <v>5.8999999999999997E-2</v>
      </c>
      <c r="U7" s="115">
        <v>44046</v>
      </c>
    </row>
    <row r="8" spans="1:21" x14ac:dyDescent="0.3">
      <c r="A8" s="35"/>
      <c r="B8" s="50"/>
      <c r="C8" s="67" t="s">
        <v>447</v>
      </c>
      <c r="D8" s="48" t="s">
        <v>448</v>
      </c>
      <c r="E8" s="123">
        <v>44318</v>
      </c>
      <c r="F8" s="117">
        <v>0.02</v>
      </c>
      <c r="G8" s="27">
        <v>0.17891919676423099</v>
      </c>
      <c r="H8" s="28">
        <v>0</v>
      </c>
      <c r="I8" s="76">
        <v>0.17891919676423099</v>
      </c>
      <c r="J8" s="126">
        <v>44133</v>
      </c>
      <c r="K8" s="97"/>
      <c r="L8" s="48" t="s">
        <v>449</v>
      </c>
      <c r="M8" s="48" t="s">
        <v>450</v>
      </c>
      <c r="N8" s="75">
        <v>44280</v>
      </c>
      <c r="O8" s="119">
        <v>0.1546865</v>
      </c>
      <c r="P8" s="19"/>
      <c r="Q8" s="67" t="s">
        <v>451</v>
      </c>
      <c r="R8" s="67" t="s">
        <v>452</v>
      </c>
      <c r="S8" s="64" t="s">
        <v>453</v>
      </c>
      <c r="T8" s="61">
        <v>0</v>
      </c>
      <c r="U8" s="74" t="s">
        <v>453</v>
      </c>
    </row>
    <row r="9" spans="1:21" x14ac:dyDescent="0.3">
      <c r="A9" s="35"/>
      <c r="B9" s="33"/>
      <c r="C9" s="48" t="s">
        <v>454</v>
      </c>
      <c r="D9" s="48" t="s">
        <v>455</v>
      </c>
      <c r="E9" s="99">
        <v>44315</v>
      </c>
      <c r="F9" s="62">
        <v>7.0000000000000007E-2</v>
      </c>
      <c r="G9" s="27">
        <v>0.1508267951790449</v>
      </c>
      <c r="H9" s="28">
        <v>0.1508267951790449</v>
      </c>
      <c r="I9" s="76">
        <v>0.1508267951790449</v>
      </c>
      <c r="J9" s="54">
        <v>44224</v>
      </c>
      <c r="K9" s="96"/>
      <c r="L9" s="48" t="s">
        <v>456</v>
      </c>
      <c r="M9" s="48" t="s">
        <v>442</v>
      </c>
      <c r="N9" s="60">
        <v>44147</v>
      </c>
      <c r="O9" s="62">
        <v>0.18</v>
      </c>
      <c r="P9" s="19"/>
      <c r="Q9" s="19"/>
      <c r="R9" s="19"/>
      <c r="S9" s="19"/>
      <c r="T9" s="19"/>
      <c r="U9" s="19"/>
    </row>
    <row r="10" spans="1:21" x14ac:dyDescent="0.3">
      <c r="A10" s="49"/>
      <c r="B10" s="50"/>
      <c r="C10" s="67" t="s">
        <v>457</v>
      </c>
      <c r="D10" s="48" t="s">
        <v>458</v>
      </c>
      <c r="E10" s="126">
        <v>44321</v>
      </c>
      <c r="F10" s="117">
        <v>4.1700000000000001E-2</v>
      </c>
      <c r="G10" s="27">
        <v>0.13293313247917907</v>
      </c>
      <c r="H10" s="28">
        <v>0</v>
      </c>
      <c r="I10" s="76">
        <v>0.13293313247917907</v>
      </c>
      <c r="J10" s="74">
        <v>44313</v>
      </c>
      <c r="K10" s="96"/>
      <c r="L10" s="48" t="s">
        <v>459</v>
      </c>
      <c r="M10" s="48" t="s">
        <v>460</v>
      </c>
      <c r="N10" s="118">
        <v>44050</v>
      </c>
      <c r="O10" s="119">
        <v>1.03E-2</v>
      </c>
      <c r="P10" s="19"/>
      <c r="Q10" s="77"/>
      <c r="R10" s="19"/>
      <c r="S10" s="19"/>
      <c r="T10" s="19"/>
      <c r="U10" s="19"/>
    </row>
    <row r="11" spans="1:21" x14ac:dyDescent="0.3">
      <c r="A11" s="32"/>
      <c r="B11" s="32"/>
      <c r="C11" s="67" t="s">
        <v>461</v>
      </c>
      <c r="D11" s="48" t="s">
        <v>462</v>
      </c>
      <c r="E11" s="64">
        <v>44228</v>
      </c>
      <c r="F11" s="62">
        <v>1.4420000000000001E-2</v>
      </c>
      <c r="G11" s="27">
        <v>6.1709966678337107E-2</v>
      </c>
      <c r="H11" s="28">
        <v>0</v>
      </c>
      <c r="I11" s="76">
        <v>0</v>
      </c>
      <c r="J11" s="74">
        <v>44222</v>
      </c>
      <c r="K11" s="96"/>
      <c r="L11" s="48" t="s">
        <v>463</v>
      </c>
      <c r="M11" s="48" t="s">
        <v>448</v>
      </c>
      <c r="N11" s="64">
        <v>44084</v>
      </c>
      <c r="O11" s="62">
        <v>0</v>
      </c>
      <c r="P11" s="19"/>
      <c r="Q11" s="83"/>
      <c r="R11" s="19"/>
      <c r="S11" s="19"/>
      <c r="T11" s="19"/>
      <c r="U11" s="19"/>
    </row>
    <row r="12" spans="1:21" x14ac:dyDescent="0.3">
      <c r="A12" s="49"/>
      <c r="B12" s="33"/>
      <c r="C12" s="48" t="s">
        <v>464</v>
      </c>
      <c r="D12" s="48" t="s">
        <v>465</v>
      </c>
      <c r="E12" s="99">
        <v>44328</v>
      </c>
      <c r="F12" s="62">
        <v>0.159</v>
      </c>
      <c r="G12" s="27">
        <v>0.78966631268521525</v>
      </c>
      <c r="H12" s="28">
        <v>0</v>
      </c>
      <c r="I12" s="76">
        <v>0.78966631268521525</v>
      </c>
      <c r="J12" s="74">
        <v>44251</v>
      </c>
      <c r="K12" s="96"/>
      <c r="L12" s="48" t="s">
        <v>466</v>
      </c>
      <c r="M12" s="48" t="s">
        <v>467</v>
      </c>
      <c r="N12" s="118"/>
      <c r="O12" s="119"/>
      <c r="P12" s="19"/>
      <c r="Q12" s="19"/>
      <c r="R12" s="19"/>
      <c r="S12" s="19"/>
      <c r="T12" s="19"/>
      <c r="U12" s="19"/>
    </row>
    <row r="13" spans="1:21" x14ac:dyDescent="0.3">
      <c r="A13" s="49"/>
      <c r="B13" s="50"/>
      <c r="C13" s="53" t="s">
        <v>468</v>
      </c>
      <c r="D13" s="53" t="s">
        <v>469</v>
      </c>
      <c r="E13" s="126">
        <v>44225</v>
      </c>
      <c r="F13" s="117">
        <v>0.08</v>
      </c>
      <c r="G13" s="27">
        <v>9.5123353147852766E-2</v>
      </c>
      <c r="H13" s="28">
        <v>0</v>
      </c>
      <c r="I13" s="76">
        <v>0</v>
      </c>
      <c r="J13" s="94">
        <v>44128</v>
      </c>
      <c r="K13" s="97"/>
      <c r="L13" s="48" t="s">
        <v>470</v>
      </c>
      <c r="M13" s="48" t="s">
        <v>471</v>
      </c>
      <c r="N13" s="78">
        <v>44063</v>
      </c>
      <c r="O13" s="119">
        <v>0.15</v>
      </c>
      <c r="P13" s="19"/>
      <c r="Q13" s="19"/>
      <c r="R13" s="19"/>
      <c r="S13" s="19"/>
      <c r="T13" s="19"/>
      <c r="U13" s="19"/>
    </row>
    <row r="14" spans="1:21" x14ac:dyDescent="0.3">
      <c r="A14" s="32"/>
      <c r="B14" s="32"/>
      <c r="C14" s="120" t="s">
        <v>472</v>
      </c>
      <c r="D14" s="120" t="s">
        <v>473</v>
      </c>
      <c r="E14" s="121">
        <v>44409</v>
      </c>
      <c r="F14" s="117">
        <v>0</v>
      </c>
      <c r="G14" s="27">
        <v>0</v>
      </c>
      <c r="H14" s="28">
        <v>0</v>
      </c>
      <c r="I14" s="29">
        <v>0</v>
      </c>
      <c r="J14" s="74">
        <v>44141</v>
      </c>
      <c r="K14" s="96"/>
      <c r="L14" s="67" t="s">
        <v>474</v>
      </c>
      <c r="M14" s="67" t="s">
        <v>475</v>
      </c>
      <c r="N14" s="78"/>
      <c r="O14" s="119"/>
      <c r="P14" s="19"/>
      <c r="Q14" s="19"/>
      <c r="R14" s="19"/>
      <c r="S14" s="19"/>
      <c r="T14" s="19"/>
      <c r="U14" s="19"/>
    </row>
    <row r="15" spans="1:21" x14ac:dyDescent="0.3">
      <c r="A15" s="49"/>
      <c r="B15" s="50"/>
      <c r="C15" s="53" t="s">
        <v>476</v>
      </c>
      <c r="D15" s="53" t="s">
        <v>477</v>
      </c>
      <c r="E15" s="121">
        <v>44412</v>
      </c>
      <c r="F15" s="122">
        <v>5.45E-2</v>
      </c>
      <c r="G15" s="27">
        <v>0.65828857564026622</v>
      </c>
      <c r="H15" s="28">
        <v>0</v>
      </c>
      <c r="I15" s="29">
        <v>0</v>
      </c>
      <c r="J15" s="74">
        <v>44147</v>
      </c>
      <c r="K15" s="96"/>
      <c r="L15" s="48" t="s">
        <v>478</v>
      </c>
      <c r="M15" s="48" t="s">
        <v>479</v>
      </c>
      <c r="N15" s="78">
        <v>44067</v>
      </c>
      <c r="O15" s="119">
        <v>3.5000000000000003E-2</v>
      </c>
      <c r="P15" s="19"/>
      <c r="Q15" s="19"/>
      <c r="R15" s="19"/>
      <c r="S15" s="19"/>
      <c r="T15" s="19"/>
      <c r="U15" s="19"/>
    </row>
    <row r="16" spans="1:21" x14ac:dyDescent="0.3">
      <c r="A16" s="49"/>
      <c r="B16" s="50"/>
      <c r="C16" s="124" t="s">
        <v>480</v>
      </c>
      <c r="D16" s="53" t="s">
        <v>481</v>
      </c>
      <c r="E16" s="99">
        <v>44313</v>
      </c>
      <c r="F16" s="128">
        <v>0.1</v>
      </c>
      <c r="G16" s="27">
        <v>0.23097118134331712</v>
      </c>
      <c r="H16" s="28">
        <v>0.23097118134331712</v>
      </c>
      <c r="I16" s="29">
        <v>0.23097118134331712</v>
      </c>
      <c r="J16" s="54">
        <v>44146</v>
      </c>
      <c r="K16" s="96"/>
      <c r="L16" s="48" t="s">
        <v>482</v>
      </c>
      <c r="M16" s="48" t="s">
        <v>483</v>
      </c>
      <c r="N16" s="75">
        <v>44280</v>
      </c>
      <c r="O16" s="119">
        <v>0.21521599999999999</v>
      </c>
      <c r="P16" s="19"/>
      <c r="Q16" s="19"/>
      <c r="R16" s="19"/>
      <c r="S16" s="19"/>
      <c r="T16" s="19"/>
      <c r="U16" s="19"/>
    </row>
    <row r="17" spans="1:17" x14ac:dyDescent="0.3">
      <c r="A17" s="49"/>
      <c r="B17" s="50"/>
      <c r="C17" s="67" t="s">
        <v>484</v>
      </c>
      <c r="D17" s="48" t="s">
        <v>485</v>
      </c>
      <c r="E17" s="99">
        <v>44229</v>
      </c>
      <c r="F17" s="62">
        <v>2.2610000000000002E-2</v>
      </c>
      <c r="G17" s="27">
        <v>6.6152813338057365E-2</v>
      </c>
      <c r="H17" s="28">
        <v>0</v>
      </c>
      <c r="I17" s="29">
        <v>0</v>
      </c>
      <c r="J17" s="60">
        <v>44126</v>
      </c>
      <c r="K17" s="96"/>
      <c r="L17" s="53" t="s">
        <v>486</v>
      </c>
      <c r="M17" s="53" t="s">
        <v>487</v>
      </c>
      <c r="N17" s="75">
        <v>44343</v>
      </c>
      <c r="O17" s="61">
        <v>0.45255700000000004</v>
      </c>
      <c r="P17" s="69"/>
      <c r="Q17" s="19"/>
    </row>
    <row r="18" spans="1:17" x14ac:dyDescent="0.3">
      <c r="A18" s="49"/>
      <c r="B18" s="50"/>
      <c r="C18" s="53" t="s">
        <v>488</v>
      </c>
      <c r="D18" s="53" t="s">
        <v>489</v>
      </c>
      <c r="E18" s="121">
        <v>44327</v>
      </c>
      <c r="F18" s="61">
        <v>0.39</v>
      </c>
      <c r="G18" s="27">
        <v>0.68009416137091727</v>
      </c>
      <c r="H18" s="28">
        <v>0</v>
      </c>
      <c r="I18" s="29">
        <v>0.68009416137091727</v>
      </c>
      <c r="J18" s="64">
        <v>44252</v>
      </c>
      <c r="K18" s="98"/>
      <c r="L18" s="120" t="s">
        <v>490</v>
      </c>
      <c r="M18" s="120" t="s">
        <v>491</v>
      </c>
      <c r="N18" s="75">
        <v>44280</v>
      </c>
      <c r="O18" s="119">
        <v>1.7217279999999999</v>
      </c>
      <c r="P18" s="69"/>
      <c r="Q18" s="19"/>
    </row>
    <row r="19" spans="1:17" x14ac:dyDescent="0.3">
      <c r="A19" s="49"/>
      <c r="B19" s="33"/>
      <c r="C19" s="125" t="s">
        <v>492</v>
      </c>
      <c r="D19" s="53" t="s">
        <v>356</v>
      </c>
      <c r="E19" s="99">
        <v>44316</v>
      </c>
      <c r="F19" s="62">
        <v>0.15</v>
      </c>
      <c r="G19" s="27">
        <v>0.1029785233350604</v>
      </c>
      <c r="H19" s="28">
        <v>0.1029785233350604</v>
      </c>
      <c r="I19" s="29">
        <v>0.1029785233350604</v>
      </c>
      <c r="J19" s="64">
        <v>44254</v>
      </c>
      <c r="K19" s="96"/>
      <c r="L19" s="53" t="s">
        <v>493</v>
      </c>
      <c r="M19" s="53" t="s">
        <v>494</v>
      </c>
      <c r="N19" s="75">
        <v>44280</v>
      </c>
      <c r="O19" s="119">
        <v>0</v>
      </c>
      <c r="P19" s="33"/>
      <c r="Q19" s="65"/>
    </row>
    <row r="20" spans="1:17" x14ac:dyDescent="0.3">
      <c r="A20" s="49"/>
      <c r="B20" s="33"/>
      <c r="C20" s="125" t="s">
        <v>495</v>
      </c>
      <c r="D20" s="53" t="s">
        <v>496</v>
      </c>
      <c r="E20" s="60">
        <v>44326</v>
      </c>
      <c r="F20" s="62">
        <v>0.5</v>
      </c>
      <c r="G20" s="27">
        <v>0.20446606277816926</v>
      </c>
      <c r="H20" s="28">
        <v>0</v>
      </c>
      <c r="I20" s="29">
        <v>0.20446606277816926</v>
      </c>
      <c r="J20" s="64">
        <v>44254</v>
      </c>
      <c r="K20" s="73"/>
      <c r="L20" s="59" t="s">
        <v>497</v>
      </c>
      <c r="M20" s="53" t="s">
        <v>455</v>
      </c>
      <c r="N20" s="60">
        <v>44315</v>
      </c>
      <c r="O20" s="79">
        <v>7.0000000000000007E-2</v>
      </c>
      <c r="P20" s="69"/>
      <c r="Q20" s="65"/>
    </row>
    <row r="21" spans="1:17" x14ac:dyDescent="0.3">
      <c r="A21" s="49"/>
      <c r="B21" s="50"/>
      <c r="C21" s="125" t="s">
        <v>498</v>
      </c>
      <c r="D21" s="70" t="s">
        <v>499</v>
      </c>
      <c r="E21" s="99">
        <v>44309</v>
      </c>
      <c r="F21" s="62">
        <v>0.155</v>
      </c>
      <c r="G21" s="27">
        <v>0.44050381282401341</v>
      </c>
      <c r="H21" s="28">
        <v>0.44050381282401341</v>
      </c>
      <c r="I21" s="29">
        <v>0.44050381282401341</v>
      </c>
      <c r="J21" s="64">
        <v>44249</v>
      </c>
      <c r="K21" s="72"/>
      <c r="L21" s="53" t="s">
        <v>500</v>
      </c>
      <c r="M21" s="53" t="s">
        <v>501</v>
      </c>
      <c r="N21" s="118">
        <v>44040</v>
      </c>
      <c r="O21" s="119">
        <v>4.3749999999999997E-2</v>
      </c>
      <c r="P21" s="69"/>
      <c r="Q21" s="19"/>
    </row>
    <row r="22" spans="1:17" x14ac:dyDescent="0.3">
      <c r="A22" s="49"/>
      <c r="B22" s="129"/>
      <c r="C22" s="55" t="s">
        <v>502</v>
      </c>
      <c r="D22" s="56"/>
      <c r="E22" s="57"/>
      <c r="F22" s="58"/>
      <c r="G22" s="53"/>
      <c r="H22" s="34">
        <v>1.4036169315947662</v>
      </c>
      <c r="I22" s="34">
        <v>3.8217145547080076</v>
      </c>
      <c r="J22" s="19"/>
      <c r="K22" s="93"/>
      <c r="L22" s="53" t="s">
        <v>503</v>
      </c>
      <c r="M22" s="53" t="s">
        <v>504</v>
      </c>
      <c r="N22" s="118">
        <v>44039</v>
      </c>
      <c r="O22" s="119">
        <v>1.4E-2</v>
      </c>
      <c r="P22" s="50"/>
      <c r="Q22" s="19"/>
    </row>
    <row r="23" spans="1:17" x14ac:dyDescent="0.3">
      <c r="A23" s="49"/>
      <c r="B23" s="50"/>
      <c r="C23" s="106"/>
      <c r="D23" s="107"/>
      <c r="E23" s="108"/>
      <c r="F23" s="109"/>
      <c r="G23" s="68"/>
      <c r="H23" s="111"/>
      <c r="I23" s="111"/>
      <c r="J23" s="68"/>
      <c r="K23" s="72"/>
      <c r="L23" s="53" t="s">
        <v>505</v>
      </c>
      <c r="M23" s="53" t="s">
        <v>458</v>
      </c>
      <c r="N23" s="78">
        <v>44133</v>
      </c>
      <c r="O23" s="79">
        <v>4.1700000000000001E-2</v>
      </c>
      <c r="P23" s="19"/>
      <c r="Q23" s="19"/>
    </row>
    <row r="24" spans="1:17" x14ac:dyDescent="0.3">
      <c r="A24" s="44"/>
      <c r="B24" s="44"/>
      <c r="C24" s="106"/>
      <c r="D24" s="107"/>
      <c r="E24" s="108"/>
      <c r="F24" s="109"/>
      <c r="G24" s="68"/>
      <c r="H24" s="111"/>
      <c r="I24" s="111"/>
      <c r="J24" s="68"/>
      <c r="K24" s="32"/>
      <c r="L24" s="53" t="s">
        <v>506</v>
      </c>
      <c r="M24" s="53" t="s">
        <v>507</v>
      </c>
      <c r="N24" s="118">
        <v>44138</v>
      </c>
      <c r="O24" s="61">
        <v>3.0700000000000002E-2</v>
      </c>
      <c r="P24" s="19"/>
      <c r="Q24" s="19"/>
    </row>
    <row r="25" spans="1:17" x14ac:dyDescent="0.3">
      <c r="A25" s="19"/>
      <c r="B25" s="19"/>
      <c r="C25" s="68"/>
      <c r="D25" s="68"/>
      <c r="E25" s="68"/>
      <c r="F25" s="68"/>
      <c r="G25" s="68"/>
      <c r="H25" s="68"/>
      <c r="I25" s="110"/>
      <c r="J25" s="32"/>
      <c r="K25" s="40"/>
      <c r="L25" s="53" t="s">
        <v>508</v>
      </c>
      <c r="M25" s="53" t="s">
        <v>462</v>
      </c>
      <c r="N25" s="99">
        <v>44131</v>
      </c>
      <c r="O25" s="62">
        <v>2.6780000000000002E-2</v>
      </c>
      <c r="P25" s="63"/>
      <c r="Q25" s="19"/>
    </row>
    <row r="26" spans="1:17" ht="15" thickBot="1" x14ac:dyDescent="0.35">
      <c r="A26" s="19"/>
      <c r="B26" s="19"/>
      <c r="C26" s="52"/>
      <c r="D26" s="52"/>
      <c r="E26" s="42"/>
      <c r="F26" s="82"/>
      <c r="G26" s="47"/>
      <c r="H26" s="81"/>
      <c r="I26" s="86"/>
      <c r="J26" s="84"/>
      <c r="K26" s="19"/>
      <c r="L26" s="53" t="s">
        <v>509</v>
      </c>
      <c r="M26" s="53" t="s">
        <v>510</v>
      </c>
      <c r="N26" s="118">
        <v>44153</v>
      </c>
      <c r="O26" s="119">
        <v>2.53E-2</v>
      </c>
      <c r="P26" s="63"/>
      <c r="Q26" s="19"/>
    </row>
    <row r="27" spans="1:17" ht="43.2" x14ac:dyDescent="0.3">
      <c r="A27" s="49" t="s">
        <v>511</v>
      </c>
      <c r="B27" s="50"/>
      <c r="C27" s="85" t="s">
        <v>512</v>
      </c>
      <c r="D27" s="45" t="s">
        <v>409</v>
      </c>
      <c r="E27" s="46">
        <v>44286</v>
      </c>
      <c r="F27" s="19"/>
      <c r="G27" s="80" t="s">
        <v>513</v>
      </c>
      <c r="H27" s="19"/>
      <c r="I27" s="19"/>
      <c r="J27" s="19"/>
      <c r="K27" s="19"/>
      <c r="L27" s="53" t="s">
        <v>514</v>
      </c>
      <c r="M27" s="53" t="s">
        <v>465</v>
      </c>
      <c r="N27" s="74">
        <v>44064</v>
      </c>
      <c r="O27" s="119">
        <v>0.159</v>
      </c>
      <c r="P27" s="68"/>
      <c r="Q27" s="19"/>
    </row>
    <row r="28" spans="1:17" ht="43.2" x14ac:dyDescent="0.3">
      <c r="A28" s="30" t="s">
        <v>515</v>
      </c>
      <c r="B28" s="50"/>
      <c r="C28" s="21" t="s">
        <v>413</v>
      </c>
      <c r="D28" s="21" t="s">
        <v>414</v>
      </c>
      <c r="E28" s="22" t="s">
        <v>415</v>
      </c>
      <c r="F28" s="23" t="s">
        <v>421</v>
      </c>
      <c r="G28" s="24" t="s">
        <v>417</v>
      </c>
      <c r="H28" s="25" t="s">
        <v>418</v>
      </c>
      <c r="I28" s="25" t="s">
        <v>419</v>
      </c>
      <c r="J28" s="22" t="s">
        <v>420</v>
      </c>
      <c r="K28" s="26"/>
      <c r="L28" s="53" t="s">
        <v>516</v>
      </c>
      <c r="M28" s="53" t="s">
        <v>517</v>
      </c>
      <c r="N28" s="118">
        <v>44146</v>
      </c>
      <c r="O28" s="119">
        <v>3.5400000000000001E-2</v>
      </c>
      <c r="P28" s="68"/>
      <c r="Q28" s="19"/>
    </row>
    <row r="29" spans="1:17" x14ac:dyDescent="0.3">
      <c r="A29" s="31" t="s">
        <v>518</v>
      </c>
      <c r="B29" s="51"/>
      <c r="C29" s="67" t="s">
        <v>422</v>
      </c>
      <c r="D29" s="48" t="s">
        <v>423</v>
      </c>
      <c r="E29" s="99">
        <v>44236</v>
      </c>
      <c r="F29" s="62">
        <v>1.678E-2</v>
      </c>
      <c r="G29" s="27">
        <v>0.56780305682310483</v>
      </c>
      <c r="H29" s="28">
        <v>0</v>
      </c>
      <c r="I29" s="29">
        <v>0</v>
      </c>
      <c r="J29" s="64">
        <v>44229</v>
      </c>
      <c r="K29" s="19"/>
      <c r="L29" s="53" t="s">
        <v>519</v>
      </c>
      <c r="M29" s="53" t="s">
        <v>520</v>
      </c>
      <c r="N29" s="118">
        <v>44176</v>
      </c>
      <c r="O29" s="119">
        <v>1.7639999999999999E-2</v>
      </c>
      <c r="P29" s="68"/>
      <c r="Q29" s="19"/>
    </row>
    <row r="30" spans="1:17" x14ac:dyDescent="0.3">
      <c r="A30" s="20"/>
      <c r="B30" s="20"/>
      <c r="C30" s="48" t="s">
        <v>431</v>
      </c>
      <c r="D30" s="48" t="s">
        <v>432</v>
      </c>
      <c r="E30" s="99">
        <v>44224</v>
      </c>
      <c r="F30" s="61">
        <v>1.7399999999999999E-2</v>
      </c>
      <c r="G30" s="27">
        <v>0.78704924328143444</v>
      </c>
      <c r="H30" s="28">
        <v>0</v>
      </c>
      <c r="I30" s="29">
        <v>0</v>
      </c>
      <c r="J30" s="74">
        <v>44217</v>
      </c>
      <c r="K30" s="19"/>
      <c r="L30" s="53" t="s">
        <v>521</v>
      </c>
      <c r="M30" s="53" t="s">
        <v>522</v>
      </c>
      <c r="N30" s="118"/>
      <c r="O30" s="119"/>
      <c r="P30" s="68"/>
      <c r="Q30" s="19"/>
    </row>
    <row r="31" spans="1:17" x14ac:dyDescent="0.3">
      <c r="A31" s="20"/>
      <c r="B31" s="20"/>
      <c r="C31" s="67" t="s">
        <v>426</v>
      </c>
      <c r="D31" s="48" t="s">
        <v>427</v>
      </c>
      <c r="E31" s="123">
        <v>44339</v>
      </c>
      <c r="F31" s="61">
        <v>0.09</v>
      </c>
      <c r="G31" s="27">
        <v>2.4055846616980943</v>
      </c>
      <c r="H31" s="28">
        <v>0</v>
      </c>
      <c r="I31" s="29">
        <v>2.4055846616980943</v>
      </c>
      <c r="J31" s="64">
        <v>44251</v>
      </c>
      <c r="K31" s="19"/>
      <c r="L31" s="53" t="s">
        <v>523</v>
      </c>
      <c r="M31" s="53" t="s">
        <v>524</v>
      </c>
      <c r="N31" s="78">
        <v>43980</v>
      </c>
      <c r="O31" s="79">
        <v>5.8999999999999997E-2</v>
      </c>
      <c r="P31" s="68"/>
      <c r="Q31" s="19"/>
    </row>
    <row r="32" spans="1:17" x14ac:dyDescent="0.3">
      <c r="A32" s="20"/>
      <c r="B32" s="87"/>
      <c r="C32" s="48" t="s">
        <v>436</v>
      </c>
      <c r="D32" s="48" t="s">
        <v>437</v>
      </c>
      <c r="E32" s="75">
        <v>44321</v>
      </c>
      <c r="F32" s="61">
        <v>0.12</v>
      </c>
      <c r="G32" s="27">
        <v>0.58370659536853264</v>
      </c>
      <c r="H32" s="28">
        <v>0</v>
      </c>
      <c r="I32" s="29">
        <v>0.58370659536853264</v>
      </c>
      <c r="J32" s="74">
        <v>44253</v>
      </c>
      <c r="K32" s="19"/>
      <c r="L32" s="53" t="s">
        <v>525</v>
      </c>
      <c r="M32" s="53" t="s">
        <v>526</v>
      </c>
      <c r="N32" s="78">
        <v>44313</v>
      </c>
      <c r="O32" s="119">
        <v>0.04</v>
      </c>
      <c r="P32" s="19"/>
      <c r="Q32" s="19"/>
    </row>
    <row r="33" spans="1:17" x14ac:dyDescent="0.3">
      <c r="A33" s="20"/>
      <c r="B33" s="87"/>
      <c r="C33" s="48" t="s">
        <v>527</v>
      </c>
      <c r="D33" s="48" t="s">
        <v>444</v>
      </c>
      <c r="E33" s="75">
        <v>44323</v>
      </c>
      <c r="F33" s="61">
        <v>1.43E-2</v>
      </c>
      <c r="G33" s="27">
        <v>0.30353403265480189</v>
      </c>
      <c r="H33" s="28">
        <v>0</v>
      </c>
      <c r="I33" s="29">
        <v>0.30353403265480189</v>
      </c>
      <c r="J33" s="64">
        <v>43876</v>
      </c>
      <c r="K33" s="19"/>
      <c r="L33" s="53" t="s">
        <v>528</v>
      </c>
      <c r="M33" s="53" t="s">
        <v>469</v>
      </c>
      <c r="N33" s="78">
        <v>44133</v>
      </c>
      <c r="O33" s="79">
        <v>0.08</v>
      </c>
      <c r="P33" s="19"/>
      <c r="Q33" s="19"/>
    </row>
    <row r="34" spans="1:17" x14ac:dyDescent="0.3">
      <c r="A34" s="20"/>
      <c r="B34" s="88"/>
      <c r="C34" s="48" t="s">
        <v>529</v>
      </c>
      <c r="D34" s="48" t="s">
        <v>450</v>
      </c>
      <c r="E34" s="75">
        <v>44280</v>
      </c>
      <c r="F34" s="61">
        <v>0.1546865</v>
      </c>
      <c r="G34" s="27">
        <v>0.48147892486508453</v>
      </c>
      <c r="H34" s="28">
        <v>0</v>
      </c>
      <c r="I34" s="29">
        <v>0</v>
      </c>
      <c r="J34" s="64">
        <v>44266</v>
      </c>
      <c r="K34" s="19"/>
      <c r="L34" s="53" t="s">
        <v>530</v>
      </c>
      <c r="M34" s="53" t="s">
        <v>531</v>
      </c>
      <c r="N34" s="60">
        <v>44057</v>
      </c>
      <c r="O34" s="119">
        <v>3.5000000000000003E-2</v>
      </c>
      <c r="P34" s="19"/>
      <c r="Q34" s="19"/>
    </row>
    <row r="35" spans="1:17" x14ac:dyDescent="0.3">
      <c r="A35" s="19"/>
      <c r="B35" s="43"/>
      <c r="C35" s="48" t="s">
        <v>441</v>
      </c>
      <c r="D35" s="48" t="s">
        <v>442</v>
      </c>
      <c r="E35" s="99">
        <v>44293</v>
      </c>
      <c r="F35" s="62">
        <v>0.18</v>
      </c>
      <c r="G35" s="27">
        <v>3.3350575010543571</v>
      </c>
      <c r="H35" s="28">
        <v>3.3350575010543571</v>
      </c>
      <c r="I35" s="29">
        <v>3.3350575010543571</v>
      </c>
      <c r="J35" s="64">
        <v>44237</v>
      </c>
      <c r="K35" s="19"/>
      <c r="L35" s="53" t="s">
        <v>532</v>
      </c>
      <c r="M35" s="53" t="s">
        <v>473</v>
      </c>
      <c r="N35" s="60">
        <v>44044</v>
      </c>
      <c r="O35" s="119">
        <v>0</v>
      </c>
      <c r="P35" s="19"/>
      <c r="Q35" s="19"/>
    </row>
    <row r="36" spans="1:17" x14ac:dyDescent="0.3">
      <c r="A36" s="19"/>
      <c r="B36" s="43"/>
      <c r="C36" s="67" t="s">
        <v>447</v>
      </c>
      <c r="D36" s="48" t="s">
        <v>448</v>
      </c>
      <c r="E36" s="123">
        <v>44318</v>
      </c>
      <c r="F36" s="62">
        <v>0.01</v>
      </c>
      <c r="G36" s="27">
        <v>0.60250471576706244</v>
      </c>
      <c r="H36" s="28">
        <v>0</v>
      </c>
      <c r="I36" s="29">
        <v>0.60250471576706244</v>
      </c>
      <c r="J36" s="126">
        <v>44133</v>
      </c>
      <c r="K36" s="19"/>
      <c r="L36" s="53" t="s">
        <v>533</v>
      </c>
      <c r="M36" s="53" t="s">
        <v>534</v>
      </c>
      <c r="N36" s="60">
        <v>44034</v>
      </c>
      <c r="O36" s="119">
        <v>0.05</v>
      </c>
      <c r="P36" s="19"/>
      <c r="Q36" s="19"/>
    </row>
    <row r="37" spans="1:17" x14ac:dyDescent="0.3">
      <c r="A37" s="19"/>
      <c r="B37" s="43"/>
      <c r="C37" s="67" t="s">
        <v>535</v>
      </c>
      <c r="D37" s="48" t="s">
        <v>483</v>
      </c>
      <c r="E37" s="75">
        <v>44280</v>
      </c>
      <c r="F37" s="61">
        <v>0.21521599999999999</v>
      </c>
      <c r="G37" s="27">
        <v>2.5841166920863161</v>
      </c>
      <c r="H37" s="28">
        <v>0</v>
      </c>
      <c r="I37" s="29">
        <v>0</v>
      </c>
      <c r="J37" s="64">
        <v>44266</v>
      </c>
      <c r="K37" s="19"/>
      <c r="L37" s="53" t="s">
        <v>536</v>
      </c>
      <c r="M37" s="53" t="s">
        <v>477</v>
      </c>
      <c r="N37" s="100">
        <v>44161</v>
      </c>
      <c r="O37" s="101">
        <v>5.0999999999999997E-2</v>
      </c>
      <c r="P37" s="19"/>
      <c r="Q37" s="19"/>
    </row>
    <row r="38" spans="1:17" x14ac:dyDescent="0.3">
      <c r="A38" s="19"/>
      <c r="B38" s="68"/>
      <c r="C38" s="67" t="s">
        <v>537</v>
      </c>
      <c r="D38" s="48" t="s">
        <v>487</v>
      </c>
      <c r="E38" s="75">
        <v>44343</v>
      </c>
      <c r="F38" s="61">
        <v>0.45255700000000004</v>
      </c>
      <c r="G38" s="27">
        <v>0.46710450177423612</v>
      </c>
      <c r="H38" s="28">
        <v>0</v>
      </c>
      <c r="I38" s="29">
        <v>0.46710450177423612</v>
      </c>
      <c r="J38" s="64">
        <v>44254</v>
      </c>
      <c r="K38" s="19"/>
      <c r="L38" s="70" t="s">
        <v>538</v>
      </c>
      <c r="M38" s="70" t="s">
        <v>539</v>
      </c>
      <c r="N38" s="60">
        <v>44117</v>
      </c>
      <c r="O38" s="62">
        <v>5.4000000000000003E-3</v>
      </c>
      <c r="P38" s="19"/>
      <c r="Q38" s="19"/>
    </row>
    <row r="39" spans="1:17" x14ac:dyDescent="0.3">
      <c r="A39" s="19"/>
      <c r="B39" s="43"/>
      <c r="C39" s="67" t="s">
        <v>540</v>
      </c>
      <c r="D39" s="48" t="s">
        <v>491</v>
      </c>
      <c r="E39" s="75">
        <v>44280</v>
      </c>
      <c r="F39" s="61">
        <v>1.7217279999999999</v>
      </c>
      <c r="G39" s="27">
        <v>3.7444146815062216</v>
      </c>
      <c r="H39" s="28">
        <v>0</v>
      </c>
      <c r="I39" s="29">
        <v>0</v>
      </c>
      <c r="J39" s="64">
        <v>44266</v>
      </c>
      <c r="K39" s="19"/>
      <c r="L39" s="53" t="s">
        <v>541</v>
      </c>
      <c r="M39" s="53" t="s">
        <v>481</v>
      </c>
      <c r="N39" s="78">
        <v>44313</v>
      </c>
      <c r="O39" s="79">
        <v>0.1</v>
      </c>
      <c r="P39" s="19"/>
      <c r="Q39" s="19"/>
    </row>
    <row r="40" spans="1:17" x14ac:dyDescent="0.3">
      <c r="A40" s="19"/>
      <c r="B40" s="19"/>
      <c r="C40" s="48" t="s">
        <v>542</v>
      </c>
      <c r="D40" s="48" t="s">
        <v>494</v>
      </c>
      <c r="E40" s="75">
        <v>44280</v>
      </c>
      <c r="F40" s="61">
        <v>0</v>
      </c>
      <c r="G40" s="27">
        <v>0</v>
      </c>
      <c r="H40" s="28">
        <v>0</v>
      </c>
      <c r="I40" s="29">
        <v>0</v>
      </c>
      <c r="J40" s="64">
        <v>44266</v>
      </c>
      <c r="K40" s="19"/>
      <c r="L40" s="53" t="s">
        <v>543</v>
      </c>
      <c r="M40" s="53" t="s">
        <v>544</v>
      </c>
      <c r="N40" s="118">
        <v>44060</v>
      </c>
      <c r="O40" s="119">
        <v>2.5000000000000001E-2</v>
      </c>
      <c r="P40" s="19"/>
      <c r="Q40" s="19"/>
    </row>
    <row r="41" spans="1:17" x14ac:dyDescent="0.3">
      <c r="A41" s="19"/>
      <c r="B41" s="19"/>
      <c r="C41" s="48" t="s">
        <v>454</v>
      </c>
      <c r="D41" s="48" t="s">
        <v>455</v>
      </c>
      <c r="E41" s="99">
        <v>44315</v>
      </c>
      <c r="F41" s="62">
        <v>7.0000000000000007E-2</v>
      </c>
      <c r="G41" s="27">
        <v>1.0430131962358826</v>
      </c>
      <c r="H41" s="28">
        <v>1.0430131962358826</v>
      </c>
      <c r="I41" s="29">
        <v>1.0430131962358826</v>
      </c>
      <c r="J41" s="54">
        <v>44224</v>
      </c>
      <c r="K41" s="19"/>
      <c r="L41" s="53" t="s">
        <v>545</v>
      </c>
      <c r="M41" s="53" t="s">
        <v>485</v>
      </c>
      <c r="N41" s="78">
        <v>44133</v>
      </c>
      <c r="O41" s="79">
        <v>1.848E-2</v>
      </c>
      <c r="P41" s="19"/>
      <c r="Q41" s="19"/>
    </row>
    <row r="42" spans="1:17" x14ac:dyDescent="0.3">
      <c r="A42" s="19"/>
      <c r="B42" s="19"/>
      <c r="C42" s="48" t="s">
        <v>546</v>
      </c>
      <c r="D42" s="48" t="s">
        <v>501</v>
      </c>
      <c r="E42" s="121">
        <v>44229</v>
      </c>
      <c r="F42" s="116">
        <v>4.3749999999999997E-2</v>
      </c>
      <c r="G42" s="27">
        <v>0.55257687752744122</v>
      </c>
      <c r="H42" s="28">
        <v>0</v>
      </c>
      <c r="I42" s="29">
        <v>0</v>
      </c>
      <c r="J42" s="54">
        <v>44147</v>
      </c>
      <c r="K42" s="19"/>
      <c r="L42" s="53" t="s">
        <v>547</v>
      </c>
      <c r="M42" s="53" t="s">
        <v>548</v>
      </c>
      <c r="N42" s="118">
        <v>43978</v>
      </c>
      <c r="O42" s="119">
        <v>4.4326241134751776E-3</v>
      </c>
      <c r="P42" s="19"/>
      <c r="Q42" s="66"/>
    </row>
    <row r="43" spans="1:17" x14ac:dyDescent="0.3">
      <c r="A43" s="19"/>
      <c r="B43" s="19"/>
      <c r="C43" s="67" t="s">
        <v>457</v>
      </c>
      <c r="D43" s="48" t="s">
        <v>458</v>
      </c>
      <c r="E43" s="126">
        <v>44321</v>
      </c>
      <c r="F43" s="117">
        <v>4.1700000000000001E-2</v>
      </c>
      <c r="G43" s="27">
        <v>0.94410597293046339</v>
      </c>
      <c r="H43" s="28">
        <v>0</v>
      </c>
      <c r="I43" s="29">
        <v>0.94410597293046339</v>
      </c>
      <c r="J43" s="74">
        <v>44313</v>
      </c>
      <c r="K43" s="19"/>
      <c r="L43" s="53" t="s">
        <v>549</v>
      </c>
      <c r="M43" s="70" t="s">
        <v>550</v>
      </c>
      <c r="N43" s="60"/>
      <c r="O43" s="61"/>
      <c r="P43" s="19"/>
      <c r="Q43" s="68"/>
    </row>
    <row r="44" spans="1:17" x14ac:dyDescent="0.3">
      <c r="A44" s="19"/>
      <c r="B44" s="19"/>
      <c r="C44" s="67" t="s">
        <v>551</v>
      </c>
      <c r="D44" s="48" t="s">
        <v>507</v>
      </c>
      <c r="E44" s="126">
        <v>44321</v>
      </c>
      <c r="F44" s="116">
        <v>3.2800000000000003E-2</v>
      </c>
      <c r="G44" s="27">
        <v>0.55695460273781727</v>
      </c>
      <c r="H44" s="28">
        <v>0</v>
      </c>
      <c r="I44" s="29">
        <v>0.55695460273781727</v>
      </c>
      <c r="J44" s="64">
        <v>44315</v>
      </c>
      <c r="K44" s="19"/>
      <c r="L44" s="53" t="s">
        <v>552</v>
      </c>
      <c r="M44" s="53" t="s">
        <v>489</v>
      </c>
      <c r="N44" s="94">
        <v>44069</v>
      </c>
      <c r="O44" s="61">
        <v>0.39</v>
      </c>
      <c r="P44" s="19"/>
      <c r="Q44" s="19"/>
    </row>
    <row r="45" spans="1:17" x14ac:dyDescent="0.3">
      <c r="A45" s="19"/>
      <c r="B45" s="19"/>
      <c r="C45" s="67" t="s">
        <v>461</v>
      </c>
      <c r="D45" s="48" t="s">
        <v>462</v>
      </c>
      <c r="E45" s="64">
        <v>44228</v>
      </c>
      <c r="F45" s="62">
        <v>1.4420000000000001E-2</v>
      </c>
      <c r="G45" s="27">
        <v>0.41470533693973177</v>
      </c>
      <c r="H45" s="28">
        <v>0</v>
      </c>
      <c r="I45" s="29">
        <v>0</v>
      </c>
      <c r="J45" s="74">
        <v>44222</v>
      </c>
      <c r="K45" s="19"/>
      <c r="L45" s="53" t="s">
        <v>553</v>
      </c>
      <c r="M45" s="53" t="s">
        <v>554</v>
      </c>
      <c r="N45" s="78">
        <v>43956</v>
      </c>
      <c r="O45" s="119">
        <v>4.2000000000000003E-2</v>
      </c>
      <c r="P45" s="19"/>
      <c r="Q45" s="65"/>
    </row>
    <row r="46" spans="1:17" x14ac:dyDescent="0.3">
      <c r="A46" s="19"/>
      <c r="B46" s="19"/>
      <c r="C46" s="48" t="s">
        <v>464</v>
      </c>
      <c r="D46" s="48" t="s">
        <v>465</v>
      </c>
      <c r="E46" s="99">
        <v>44328</v>
      </c>
      <c r="F46" s="62">
        <v>0.159</v>
      </c>
      <c r="G46" s="27">
        <v>5.7674232516769637</v>
      </c>
      <c r="H46" s="28">
        <v>0</v>
      </c>
      <c r="I46" s="29">
        <v>5.7674232516769637</v>
      </c>
      <c r="J46" s="74">
        <v>44251</v>
      </c>
      <c r="K46" s="19"/>
      <c r="L46" s="53" t="s">
        <v>555</v>
      </c>
      <c r="M46" s="53" t="s">
        <v>356</v>
      </c>
      <c r="N46" s="99">
        <v>44316</v>
      </c>
      <c r="O46" s="62">
        <v>0.15</v>
      </c>
      <c r="P46" s="19"/>
      <c r="Q46" s="19"/>
    </row>
    <row r="47" spans="1:17" x14ac:dyDescent="0.3">
      <c r="A47" s="19"/>
      <c r="B47" s="19"/>
      <c r="C47" s="48" t="s">
        <v>556</v>
      </c>
      <c r="D47" s="48" t="s">
        <v>522</v>
      </c>
      <c r="E47" s="94">
        <v>44406</v>
      </c>
      <c r="F47" s="117">
        <v>0</v>
      </c>
      <c r="G47" s="27">
        <v>0</v>
      </c>
      <c r="H47" s="28">
        <v>0</v>
      </c>
      <c r="I47" s="29">
        <v>0</v>
      </c>
      <c r="J47" s="54">
        <v>44237</v>
      </c>
      <c r="K47" s="19"/>
      <c r="L47" s="53" t="s">
        <v>557</v>
      </c>
      <c r="M47" s="53" t="s">
        <v>496</v>
      </c>
      <c r="N47" s="60">
        <v>44326</v>
      </c>
      <c r="O47" s="62">
        <v>0.5</v>
      </c>
      <c r="P47" s="19"/>
      <c r="Q47" s="19"/>
    </row>
    <row r="48" spans="1:17" x14ac:dyDescent="0.3">
      <c r="A48" s="19"/>
      <c r="B48" s="19"/>
      <c r="C48" s="67" t="s">
        <v>558</v>
      </c>
      <c r="D48" s="67" t="s">
        <v>526</v>
      </c>
      <c r="E48" s="99">
        <v>44313</v>
      </c>
      <c r="F48" s="61">
        <v>0.04</v>
      </c>
      <c r="G48" s="27">
        <v>0.37521160099934076</v>
      </c>
      <c r="H48" s="28">
        <v>0.37521160099934076</v>
      </c>
      <c r="I48" s="29">
        <v>0.37521160099934076</v>
      </c>
      <c r="J48" s="54">
        <v>44134</v>
      </c>
      <c r="K48" s="19"/>
      <c r="L48" s="53" t="s">
        <v>559</v>
      </c>
      <c r="M48" s="53" t="s">
        <v>499</v>
      </c>
      <c r="N48" s="60">
        <v>44309</v>
      </c>
      <c r="O48" s="62">
        <v>0.155</v>
      </c>
      <c r="P48" s="63"/>
      <c r="Q48" s="19"/>
    </row>
    <row r="49" spans="3:17" x14ac:dyDescent="0.3">
      <c r="C49" s="120" t="s">
        <v>472</v>
      </c>
      <c r="D49" s="120" t="s">
        <v>473</v>
      </c>
      <c r="E49" s="121">
        <v>44409</v>
      </c>
      <c r="F49" s="117">
        <v>0</v>
      </c>
      <c r="G49" s="27">
        <v>0</v>
      </c>
      <c r="H49" s="28">
        <v>0</v>
      </c>
      <c r="I49" s="29">
        <v>0</v>
      </c>
      <c r="J49" s="126">
        <v>44140</v>
      </c>
      <c r="K49" s="19"/>
      <c r="L49" s="89" t="s">
        <v>560</v>
      </c>
      <c r="M49" s="89" t="s">
        <v>561</v>
      </c>
      <c r="N49" s="78">
        <v>43964</v>
      </c>
      <c r="O49" s="79">
        <v>4.4999999999999998E-2</v>
      </c>
      <c r="P49" s="68"/>
      <c r="Q49" s="19"/>
    </row>
    <row r="50" spans="3:17" x14ac:dyDescent="0.3">
      <c r="C50" s="53" t="s">
        <v>468</v>
      </c>
      <c r="D50" s="53" t="s">
        <v>469</v>
      </c>
      <c r="E50" s="126">
        <v>44225</v>
      </c>
      <c r="F50" s="117">
        <v>0.08</v>
      </c>
      <c r="G50" s="27">
        <v>0.68054794664176321</v>
      </c>
      <c r="H50" s="28">
        <v>0</v>
      </c>
      <c r="I50" s="29">
        <v>0</v>
      </c>
      <c r="J50" s="127"/>
      <c r="K50" s="19"/>
      <c r="L50" s="90"/>
      <c r="M50" s="90"/>
      <c r="N50" s="91"/>
      <c r="O50" s="92"/>
      <c r="P50" s="19"/>
      <c r="Q50" s="19"/>
    </row>
    <row r="51" spans="3:17" x14ac:dyDescent="0.3">
      <c r="C51" s="124" t="s">
        <v>480</v>
      </c>
      <c r="D51" s="53" t="s">
        <v>481</v>
      </c>
      <c r="E51" s="99">
        <v>44313</v>
      </c>
      <c r="F51" s="128">
        <v>0.1</v>
      </c>
      <c r="G51" s="27">
        <v>1.5808536399474307</v>
      </c>
      <c r="H51" s="28">
        <v>1.5808536399474307</v>
      </c>
      <c r="I51" s="29">
        <v>1.5808536399474307</v>
      </c>
      <c r="J51" s="64">
        <v>44246</v>
      </c>
      <c r="K51" s="19"/>
      <c r="L51" s="68"/>
      <c r="M51" s="68"/>
      <c r="N51" s="68"/>
      <c r="O51" s="68"/>
      <c r="P51" s="63"/>
      <c r="Q51" s="19"/>
    </row>
    <row r="52" spans="3:17" x14ac:dyDescent="0.3">
      <c r="C52" s="53" t="s">
        <v>476</v>
      </c>
      <c r="D52" s="53" t="s">
        <v>477</v>
      </c>
      <c r="E52" s="121">
        <v>44412</v>
      </c>
      <c r="F52" s="122">
        <v>5.45E-2</v>
      </c>
      <c r="G52" s="27">
        <v>4.2086728980614145</v>
      </c>
      <c r="H52" s="28">
        <v>0</v>
      </c>
      <c r="I52" s="29">
        <v>0</v>
      </c>
      <c r="J52" s="127"/>
      <c r="K52" s="19"/>
      <c r="L52" s="19"/>
      <c r="M52" s="19"/>
      <c r="N52" s="19"/>
      <c r="O52" s="19"/>
      <c r="P52" s="19"/>
      <c r="Q52" s="19"/>
    </row>
    <row r="53" spans="3:17" x14ac:dyDescent="0.3">
      <c r="C53" s="53" t="s">
        <v>562</v>
      </c>
      <c r="D53" s="53" t="s">
        <v>548</v>
      </c>
      <c r="E53" s="118">
        <v>44231</v>
      </c>
      <c r="F53" s="119">
        <v>1.4336283185840707E-2</v>
      </c>
      <c r="G53" s="27">
        <v>1.4584703864967146</v>
      </c>
      <c r="H53" s="28">
        <v>0</v>
      </c>
      <c r="I53" s="29">
        <v>0</v>
      </c>
      <c r="J53" s="127"/>
      <c r="K53" s="19"/>
      <c r="L53" s="19"/>
      <c r="M53" s="19"/>
      <c r="N53" s="19"/>
      <c r="O53" s="19"/>
      <c r="P53" s="19"/>
      <c r="Q53" s="19"/>
    </row>
    <row r="54" spans="3:17" x14ac:dyDescent="0.3">
      <c r="C54" s="53" t="s">
        <v>488</v>
      </c>
      <c r="D54" s="53" t="s">
        <v>489</v>
      </c>
      <c r="E54" s="121">
        <v>44327</v>
      </c>
      <c r="F54" s="61">
        <v>0.39</v>
      </c>
      <c r="G54" s="27">
        <v>5.1979171065181236</v>
      </c>
      <c r="H54" s="28">
        <v>0</v>
      </c>
      <c r="I54" s="29">
        <v>5.1979171065181236</v>
      </c>
      <c r="J54" s="64">
        <v>44252</v>
      </c>
      <c r="K54" s="19"/>
      <c r="L54" s="19"/>
      <c r="M54" s="19"/>
      <c r="N54" s="19"/>
      <c r="O54" s="19"/>
      <c r="P54" s="19"/>
      <c r="Q54" s="19"/>
    </row>
    <row r="55" spans="3:17" x14ac:dyDescent="0.3">
      <c r="C55" s="125" t="s">
        <v>492</v>
      </c>
      <c r="D55" s="53" t="s">
        <v>356</v>
      </c>
      <c r="E55" s="99">
        <v>44316</v>
      </c>
      <c r="F55" s="62">
        <v>0.15</v>
      </c>
      <c r="G55" s="27">
        <v>0.76692450097587772</v>
      </c>
      <c r="H55" s="28">
        <v>0.76692450097587772</v>
      </c>
      <c r="I55" s="29">
        <v>0.76692450097587772</v>
      </c>
      <c r="J55" s="64">
        <v>44254</v>
      </c>
      <c r="K55" s="19"/>
      <c r="L55" s="19"/>
      <c r="M55" s="19"/>
      <c r="N55" s="19"/>
      <c r="O55" s="19"/>
      <c r="P55" s="19"/>
      <c r="Q55" s="19"/>
    </row>
    <row r="56" spans="3:17" x14ac:dyDescent="0.3">
      <c r="C56" s="125" t="s">
        <v>495</v>
      </c>
      <c r="D56" s="53" t="s">
        <v>496</v>
      </c>
      <c r="E56" s="60">
        <v>44326</v>
      </c>
      <c r="F56" s="62">
        <v>0.5</v>
      </c>
      <c r="G56" s="27">
        <v>1.3490446814378523</v>
      </c>
      <c r="H56" s="28">
        <v>0</v>
      </c>
      <c r="I56" s="29">
        <v>1.3490446814378523</v>
      </c>
      <c r="J56" s="64">
        <v>44254</v>
      </c>
      <c r="K56" s="19"/>
      <c r="L56" s="19"/>
      <c r="M56" s="19"/>
      <c r="N56" s="19"/>
      <c r="O56" s="19"/>
      <c r="P56" s="19"/>
      <c r="Q56" s="19"/>
    </row>
    <row r="57" spans="3:17" x14ac:dyDescent="0.3">
      <c r="C57" s="125" t="s">
        <v>498</v>
      </c>
      <c r="D57" s="70" t="s">
        <v>499</v>
      </c>
      <c r="E57" s="99">
        <v>44309</v>
      </c>
      <c r="F57" s="62">
        <v>0.155</v>
      </c>
      <c r="G57" s="27">
        <v>3.4099299114241766</v>
      </c>
      <c r="H57" s="28">
        <v>3.4099299114241766</v>
      </c>
      <c r="I57" s="29">
        <v>3.4099299114241766</v>
      </c>
      <c r="J57" s="64">
        <v>44249</v>
      </c>
      <c r="K57" s="19"/>
      <c r="L57" s="19"/>
      <c r="M57" s="19"/>
      <c r="N57" s="19"/>
      <c r="O57" s="19"/>
      <c r="P57" s="19"/>
      <c r="Q57" s="40"/>
    </row>
    <row r="58" spans="3:17" x14ac:dyDescent="0.3">
      <c r="C58" s="125" t="s">
        <v>563</v>
      </c>
      <c r="D58" s="53" t="s">
        <v>561</v>
      </c>
      <c r="E58" s="94">
        <v>44329</v>
      </c>
      <c r="F58" s="117">
        <v>4.4999999999999998E-2</v>
      </c>
      <c r="G58" s="27">
        <v>0.98655411670399995</v>
      </c>
      <c r="H58" s="28">
        <v>0</v>
      </c>
      <c r="I58" s="29">
        <v>0.98655411670399995</v>
      </c>
      <c r="J58" s="127"/>
      <c r="K58" s="19"/>
      <c r="L58" s="19"/>
      <c r="M58" s="19"/>
      <c r="N58" s="19"/>
      <c r="O58" s="19"/>
      <c r="P58" s="77"/>
      <c r="Q58" s="19"/>
    </row>
    <row r="59" spans="3:17" x14ac:dyDescent="0.3">
      <c r="C59" s="102" t="s">
        <v>502</v>
      </c>
      <c r="D59" s="103"/>
      <c r="E59" s="60"/>
      <c r="F59" s="62"/>
      <c r="G59" s="104"/>
      <c r="H59" s="105">
        <v>10.510990350637066</v>
      </c>
      <c r="I59" s="105">
        <v>29.675424589905013</v>
      </c>
      <c r="J59" s="19"/>
      <c r="K59" s="19"/>
      <c r="L59" s="19"/>
      <c r="M59" s="19"/>
      <c r="N59" s="19"/>
      <c r="O59" s="19"/>
      <c r="P59" s="19"/>
      <c r="Q59" s="19"/>
    </row>
    <row r="60" spans="3:17" x14ac:dyDescent="0.3">
      <c r="C60" s="19"/>
      <c r="D60" s="19"/>
      <c r="E60" s="19"/>
      <c r="F60" s="19"/>
      <c r="G60" s="19"/>
      <c r="H60" s="19"/>
      <c r="I60" s="77">
        <v>19.164434239267948</v>
      </c>
      <c r="J60" s="19"/>
      <c r="K60" s="19"/>
      <c r="L60" s="19"/>
      <c r="M60" s="19"/>
      <c r="N60" s="19"/>
      <c r="O60" s="19"/>
      <c r="P60" s="19"/>
      <c r="Q60" s="19"/>
    </row>
    <row r="61" spans="3:17" x14ac:dyDescent="0.3">
      <c r="C61" s="19"/>
      <c r="D61" s="19"/>
      <c r="E61" s="19"/>
      <c r="F61" s="19"/>
      <c r="G61" s="19"/>
      <c r="H61" s="19"/>
      <c r="I61" s="19"/>
      <c r="J61" s="19"/>
      <c r="K61" s="19"/>
      <c r="L61" s="19"/>
      <c r="M61" s="19"/>
      <c r="N61" s="19"/>
      <c r="O61" s="19"/>
      <c r="P61" s="19"/>
      <c r="Q61" s="19"/>
    </row>
    <row r="62" spans="3:17" x14ac:dyDescent="0.3">
      <c r="C62" s="19"/>
      <c r="D62" s="19"/>
      <c r="E62" s="19"/>
      <c r="F62" s="19"/>
      <c r="G62" s="19"/>
      <c r="H62" s="19"/>
      <c r="I62" s="19"/>
      <c r="J62" s="19"/>
      <c r="K62" s="19"/>
      <c r="L62" s="19"/>
      <c r="M62" s="19"/>
      <c r="N62" s="19"/>
      <c r="O62" s="19"/>
      <c r="P62" s="19"/>
      <c r="Q62" s="19"/>
    </row>
    <row r="63" spans="3:17" x14ac:dyDescent="0.3">
      <c r="C63" s="19"/>
      <c r="D63" s="19"/>
      <c r="E63" s="19"/>
      <c r="F63" s="19"/>
      <c r="G63" s="19"/>
      <c r="H63" s="19"/>
      <c r="I63" s="19"/>
      <c r="J63" s="19"/>
      <c r="K63" s="19"/>
      <c r="L63" s="19"/>
      <c r="M63" s="19"/>
      <c r="N63" s="19"/>
      <c r="O63" s="19"/>
      <c r="P63" s="19"/>
      <c r="Q63" s="19"/>
    </row>
    <row r="64" spans="3:17" x14ac:dyDescent="0.3">
      <c r="C64" s="19"/>
      <c r="D64" s="19"/>
      <c r="E64" s="19"/>
      <c r="F64" s="19"/>
      <c r="G64" s="19"/>
      <c r="H64" s="19"/>
      <c r="I64" s="19"/>
      <c r="J64" s="19"/>
      <c r="K64" s="19"/>
      <c r="L64" s="19"/>
      <c r="M64" s="19"/>
      <c r="N64" s="19"/>
      <c r="O64" s="19"/>
      <c r="P64" s="19"/>
      <c r="Q64" s="19"/>
    </row>
    <row r="65" spans="16:16" x14ac:dyDescent="0.3">
      <c r="P65" s="19"/>
    </row>
    <row r="66" spans="16:16" x14ac:dyDescent="0.3">
      <c r="P66" s="19"/>
    </row>
    <row r="67" spans="16:16" x14ac:dyDescent="0.3">
      <c r="P67" s="19"/>
    </row>
    <row r="68" spans="16:16" x14ac:dyDescent="0.3">
      <c r="P68" s="1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I39"/>
  <sheetViews>
    <sheetView zoomScale="70" zoomScaleNormal="70" workbookViewId="0">
      <selection sqref="A1:W39"/>
    </sheetView>
  </sheetViews>
  <sheetFormatPr defaultRowHeight="14.4" x14ac:dyDescent="0.3"/>
  <cols>
    <col min="1" max="1" width="44" customWidth="1"/>
    <col min="2" max="2" width="27.88671875" customWidth="1"/>
    <col min="3" max="3" width="55.44140625" bestFit="1" customWidth="1"/>
    <col min="5" max="5" width="39.33203125" bestFit="1" customWidth="1"/>
    <col min="6" max="6" width="13.5546875" bestFit="1" customWidth="1"/>
    <col min="7" max="7" width="26" bestFit="1" customWidth="1"/>
    <col min="8" max="8" width="9.6640625" bestFit="1" customWidth="1"/>
    <col min="9" max="9" width="34.5546875" bestFit="1" customWidth="1"/>
    <col min="10" max="10" width="16.33203125" customWidth="1"/>
    <col min="11" max="11" width="32.44140625" customWidth="1"/>
    <col min="12" max="12" width="23" customWidth="1"/>
    <col min="13" max="13" width="26.6640625" customWidth="1"/>
    <col min="14" max="14" width="35.33203125" customWidth="1"/>
    <col min="15" max="15" width="25" customWidth="1"/>
    <col min="32" max="32" width="23.44140625" customWidth="1"/>
    <col min="34" max="34" width="11.5546875" customWidth="1"/>
  </cols>
  <sheetData>
    <row r="1" spans="1:35" x14ac:dyDescent="0.3">
      <c r="A1" s="19" t="s">
        <v>101</v>
      </c>
      <c r="B1" s="19">
        <v>20210407</v>
      </c>
      <c r="C1" s="19" t="s">
        <v>102</v>
      </c>
      <c r="D1" s="19" t="s">
        <v>103</v>
      </c>
      <c r="E1" s="19" t="s">
        <v>104</v>
      </c>
      <c r="F1" s="19" t="s">
        <v>105</v>
      </c>
      <c r="G1" s="19" t="s">
        <v>105</v>
      </c>
      <c r="H1" s="19" t="s">
        <v>11</v>
      </c>
      <c r="I1" s="19" t="s">
        <v>106</v>
      </c>
      <c r="J1" s="19" t="s">
        <v>107</v>
      </c>
      <c r="K1" s="19"/>
      <c r="L1" s="19"/>
      <c r="M1" s="19"/>
      <c r="N1" s="19"/>
      <c r="O1" s="19"/>
      <c r="P1" s="19"/>
      <c r="Q1" s="19"/>
      <c r="R1" s="19"/>
      <c r="S1" s="19"/>
      <c r="T1" s="19"/>
      <c r="U1" s="19"/>
      <c r="V1" s="19"/>
      <c r="W1" s="19"/>
      <c r="AC1" t="s">
        <v>374</v>
      </c>
      <c r="AD1" t="s">
        <v>375</v>
      </c>
      <c r="AF1" t="s">
        <v>376</v>
      </c>
      <c r="AH1">
        <f>J3</f>
        <v>5412.39</v>
      </c>
    </row>
    <row r="2" spans="1:35" x14ac:dyDescent="0.3">
      <c r="A2" s="19" t="s">
        <v>108</v>
      </c>
      <c r="B2" s="19">
        <v>500000</v>
      </c>
      <c r="C2" s="19" t="s">
        <v>109</v>
      </c>
      <c r="D2" s="19"/>
      <c r="E2" s="19" t="s">
        <v>110</v>
      </c>
      <c r="F2" s="19"/>
      <c r="G2" s="19" t="s">
        <v>111</v>
      </c>
      <c r="H2" s="19"/>
      <c r="I2" s="19" t="s">
        <v>112</v>
      </c>
      <c r="J2" s="19">
        <v>0</v>
      </c>
      <c r="K2" s="19"/>
      <c r="L2" s="19"/>
      <c r="M2" s="19"/>
      <c r="N2" s="19"/>
      <c r="O2" s="19"/>
      <c r="P2" s="19"/>
      <c r="Q2" s="19"/>
      <c r="R2" s="19"/>
      <c r="S2" s="19"/>
      <c r="T2" s="19"/>
      <c r="U2" s="19"/>
      <c r="V2" s="19"/>
      <c r="W2" s="19"/>
      <c r="AF2" t="s">
        <v>377</v>
      </c>
    </row>
    <row r="3" spans="1:35" x14ac:dyDescent="0.3">
      <c r="A3" s="19" t="s">
        <v>113</v>
      </c>
      <c r="B3" s="19" t="s">
        <v>114</v>
      </c>
      <c r="C3" s="19" t="s">
        <v>115</v>
      </c>
      <c r="D3" s="19"/>
      <c r="E3" s="19" t="s">
        <v>116</v>
      </c>
      <c r="F3" s="19"/>
      <c r="G3" s="19" t="s">
        <v>117</v>
      </c>
      <c r="H3" s="19">
        <v>1740</v>
      </c>
      <c r="I3" s="19" t="s">
        <v>118</v>
      </c>
      <c r="J3" s="19">
        <v>5412.39</v>
      </c>
      <c r="K3" s="19"/>
      <c r="L3" s="19"/>
      <c r="M3" s="19"/>
      <c r="N3" s="19"/>
      <c r="O3" s="19"/>
      <c r="P3" s="19"/>
      <c r="Q3" s="19"/>
      <c r="R3" s="19"/>
      <c r="S3" s="19"/>
      <c r="T3" s="19"/>
      <c r="U3" s="19"/>
      <c r="V3" s="19"/>
      <c r="W3" s="19"/>
      <c r="AF3" t="s">
        <v>378</v>
      </c>
    </row>
    <row r="4" spans="1:35" x14ac:dyDescent="0.3">
      <c r="A4" s="19" t="s">
        <v>119</v>
      </c>
      <c r="B4" s="19">
        <v>3.2110210000000001</v>
      </c>
      <c r="C4" s="19" t="s">
        <v>120</v>
      </c>
      <c r="D4" s="19">
        <v>1.0755000000000001E-2</v>
      </c>
      <c r="E4" s="19" t="s">
        <v>121</v>
      </c>
      <c r="F4" s="19">
        <v>1600098.11</v>
      </c>
      <c r="G4" s="19" t="s">
        <v>122</v>
      </c>
      <c r="H4" s="19">
        <v>1740</v>
      </c>
      <c r="I4" s="19" t="s">
        <v>123</v>
      </c>
      <c r="J4" s="19">
        <v>5398.7</v>
      </c>
      <c r="K4" s="19"/>
      <c r="L4" s="19"/>
      <c r="M4" s="19"/>
      <c r="N4" s="19"/>
      <c r="O4" s="19"/>
      <c r="P4" s="19"/>
      <c r="Q4" s="19"/>
      <c r="R4" s="19"/>
      <c r="S4" s="19"/>
      <c r="T4" s="19"/>
      <c r="U4" s="19"/>
      <c r="V4" s="19"/>
      <c r="W4" s="19"/>
      <c r="AF4" t="s">
        <v>100</v>
      </c>
      <c r="AG4">
        <f>B2</f>
        <v>500000</v>
      </c>
    </row>
    <row r="5" spans="1:35" x14ac:dyDescent="0.3">
      <c r="A5" s="19" t="s">
        <v>124</v>
      </c>
      <c r="B5" s="19">
        <v>1605510.5</v>
      </c>
      <c r="C5" s="19" t="s">
        <v>125</v>
      </c>
      <c r="D5" s="19">
        <v>5377.5</v>
      </c>
      <c r="E5" s="19" t="s">
        <v>126</v>
      </c>
      <c r="F5" s="19">
        <v>330063</v>
      </c>
      <c r="G5" s="19" t="s">
        <v>127</v>
      </c>
      <c r="H5" s="19">
        <v>0</v>
      </c>
      <c r="I5" s="19"/>
      <c r="J5" s="19"/>
      <c r="K5" s="19"/>
      <c r="L5" s="19"/>
      <c r="M5" s="19"/>
      <c r="N5" s="19"/>
      <c r="O5" s="19"/>
      <c r="P5" s="19"/>
      <c r="Q5" s="19"/>
      <c r="R5" s="19"/>
      <c r="S5" s="19"/>
      <c r="T5" s="19"/>
      <c r="U5" s="19"/>
      <c r="V5" s="19"/>
      <c r="W5" s="19"/>
    </row>
    <row r="6" spans="1:35" x14ac:dyDescent="0.3">
      <c r="A6" s="19" t="s">
        <v>128</v>
      </c>
      <c r="B6" s="19">
        <v>1600133</v>
      </c>
      <c r="C6" s="19" t="s">
        <v>129</v>
      </c>
      <c r="D6" s="19">
        <v>0</v>
      </c>
      <c r="E6" s="19" t="s">
        <v>130</v>
      </c>
      <c r="F6" s="19">
        <v>0</v>
      </c>
      <c r="G6" s="19" t="s">
        <v>131</v>
      </c>
      <c r="H6" s="19">
        <v>0</v>
      </c>
      <c r="I6" s="19"/>
      <c r="J6" s="19"/>
      <c r="K6" s="19"/>
      <c r="L6" s="19"/>
      <c r="M6" s="19"/>
      <c r="N6" s="19"/>
      <c r="O6" s="19"/>
      <c r="P6" s="19"/>
      <c r="Q6" s="19"/>
      <c r="R6" s="19"/>
      <c r="S6" s="19"/>
      <c r="T6" s="19"/>
      <c r="U6" s="19"/>
      <c r="V6" s="19"/>
      <c r="W6" s="19"/>
    </row>
    <row r="7" spans="1:35" x14ac:dyDescent="0.3">
      <c r="A7" s="19" t="s">
        <v>132</v>
      </c>
      <c r="B7" s="19">
        <v>541900000</v>
      </c>
      <c r="C7" s="19" t="s">
        <v>133</v>
      </c>
      <c r="D7" s="19">
        <v>0</v>
      </c>
      <c r="E7" s="19" t="s">
        <v>134</v>
      </c>
      <c r="F7" s="19">
        <v>0</v>
      </c>
      <c r="G7" s="19" t="s">
        <v>135</v>
      </c>
      <c r="H7" s="19">
        <v>0</v>
      </c>
      <c r="I7" s="19"/>
      <c r="J7" s="19"/>
      <c r="K7" s="19"/>
      <c r="L7" s="19"/>
      <c r="M7" s="19"/>
      <c r="N7" s="19"/>
      <c r="O7" s="19"/>
      <c r="P7" s="19"/>
      <c r="Q7" s="19"/>
      <c r="R7" s="19"/>
      <c r="S7" s="19"/>
      <c r="T7" s="19"/>
      <c r="U7" s="19"/>
      <c r="V7" s="19"/>
      <c r="W7" s="19"/>
      <c r="AG7" t="s">
        <v>370</v>
      </c>
      <c r="AH7" t="s">
        <v>371</v>
      </c>
      <c r="AI7" t="s">
        <v>369</v>
      </c>
    </row>
    <row r="8" spans="1:35" x14ac:dyDescent="0.3">
      <c r="A8" s="19" t="s">
        <v>136</v>
      </c>
      <c r="B8" s="19">
        <v>1740052499.3499999</v>
      </c>
      <c r="C8" s="19" t="s">
        <v>137</v>
      </c>
      <c r="D8" s="19">
        <v>5398.7</v>
      </c>
      <c r="E8" s="19" t="s">
        <v>138</v>
      </c>
      <c r="F8" s="19">
        <v>5412.39</v>
      </c>
      <c r="G8" s="19" t="s">
        <v>139</v>
      </c>
      <c r="H8" s="19" t="s">
        <v>103</v>
      </c>
      <c r="I8" s="19"/>
      <c r="J8" s="19"/>
      <c r="K8" s="19"/>
      <c r="L8" s="19"/>
      <c r="M8" s="19"/>
      <c r="N8" s="19"/>
      <c r="O8" s="19"/>
      <c r="P8" s="19"/>
      <c r="Q8" s="19"/>
      <c r="R8" s="19"/>
      <c r="S8" s="19"/>
      <c r="T8" s="19"/>
      <c r="U8" s="19"/>
      <c r="V8" s="19"/>
      <c r="W8" s="19"/>
      <c r="AF8" t="s">
        <v>119</v>
      </c>
      <c r="AG8" t="e">
        <f ca="1">(SUMPRODUCT('Live Price'!D5:D34,'Live Price'!$I5:$I34,'Live Price'!$G5:$G34)+'STI ETF '!$AH$1)/'STI ETF '!$AG$4</f>
        <v>#NAME?</v>
      </c>
      <c r="AH8" s="19" t="e">
        <f ca="1">(SUMPRODUCT('Live Price'!E5:E34,'Live Price'!$I5:$I34,'Live Price'!$G5:$G34)+'STI ETF '!$AH$1)/'STI ETF '!$AG$4</f>
        <v>#NAME?</v>
      </c>
      <c r="AI8" s="19" t="e">
        <f ca="1">(SUMPRODUCT('Live Price'!F5:F34,'Live Price'!$I5:$I34,'Live Price'!$G5:$G34)+'STI ETF '!$AH$1)/'STI ETF '!$AG$4</f>
        <v>#NAME?</v>
      </c>
    </row>
    <row r="9" spans="1:35" x14ac:dyDescent="0.3">
      <c r="A9" s="19" t="s">
        <v>140</v>
      </c>
      <c r="B9" s="19" t="s">
        <v>141</v>
      </c>
      <c r="C9" s="19" t="s">
        <v>142</v>
      </c>
      <c r="D9" s="19" t="s">
        <v>143</v>
      </c>
      <c r="E9" s="19" t="s">
        <v>144</v>
      </c>
      <c r="F9" s="19" t="s">
        <v>145</v>
      </c>
      <c r="G9" s="19" t="s">
        <v>146</v>
      </c>
      <c r="H9" s="19" t="s">
        <v>147</v>
      </c>
      <c r="I9" s="19" t="s">
        <v>148</v>
      </c>
      <c r="J9" s="19" t="s">
        <v>149</v>
      </c>
      <c r="K9" s="19" t="s">
        <v>150</v>
      </c>
      <c r="L9" s="19" t="s">
        <v>151</v>
      </c>
      <c r="M9" s="19" t="s">
        <v>152</v>
      </c>
      <c r="N9" s="19" t="s">
        <v>153</v>
      </c>
      <c r="O9" s="19" t="s">
        <v>154</v>
      </c>
      <c r="P9" s="19" t="s">
        <v>155</v>
      </c>
      <c r="Q9" s="19" t="s">
        <v>156</v>
      </c>
      <c r="R9" s="19" t="s">
        <v>157</v>
      </c>
      <c r="S9" s="19" t="s">
        <v>158</v>
      </c>
      <c r="T9" s="19" t="s">
        <v>159</v>
      </c>
      <c r="U9" s="19" t="s">
        <v>160</v>
      </c>
      <c r="V9" s="19" t="s">
        <v>161</v>
      </c>
      <c r="W9" s="19" t="s">
        <v>162</v>
      </c>
    </row>
    <row r="10" spans="1:35" x14ac:dyDescent="0.3">
      <c r="A10" s="19" t="s">
        <v>163</v>
      </c>
      <c r="B10" s="19" t="s">
        <v>164</v>
      </c>
      <c r="C10" s="19" t="s">
        <v>165</v>
      </c>
      <c r="D10" s="19" t="s">
        <v>166</v>
      </c>
      <c r="E10" s="19" t="s">
        <v>167</v>
      </c>
      <c r="F10" s="19" t="s">
        <v>11</v>
      </c>
      <c r="G10" s="19" t="s">
        <v>26</v>
      </c>
      <c r="H10" s="19">
        <v>7893</v>
      </c>
      <c r="I10" s="19"/>
      <c r="J10" s="19">
        <v>0</v>
      </c>
      <c r="K10" s="19">
        <v>3.95</v>
      </c>
      <c r="L10" s="19">
        <v>31177.35</v>
      </c>
      <c r="M10" s="19">
        <v>1</v>
      </c>
      <c r="N10" s="19">
        <v>3.95</v>
      </c>
      <c r="O10" s="19">
        <v>31177.35</v>
      </c>
      <c r="P10" s="19">
        <v>1.9484649000000001</v>
      </c>
      <c r="Q10" s="19" t="s">
        <v>168</v>
      </c>
      <c r="R10" s="19">
        <v>0</v>
      </c>
      <c r="S10" s="19">
        <v>1</v>
      </c>
      <c r="T10" s="19" t="s">
        <v>168</v>
      </c>
      <c r="U10" s="19">
        <v>0</v>
      </c>
      <c r="V10" s="19">
        <v>0</v>
      </c>
      <c r="W10" s="19">
        <v>1</v>
      </c>
    </row>
    <row r="11" spans="1:35" x14ac:dyDescent="0.3">
      <c r="A11" s="19" t="s">
        <v>169</v>
      </c>
      <c r="B11" s="19" t="s">
        <v>170</v>
      </c>
      <c r="C11" s="19" t="s">
        <v>171</v>
      </c>
      <c r="D11" s="19" t="s">
        <v>172</v>
      </c>
      <c r="E11" s="19" t="s">
        <v>173</v>
      </c>
      <c r="F11" s="19" t="s">
        <v>11</v>
      </c>
      <c r="G11" s="19" t="s">
        <v>26</v>
      </c>
      <c r="H11" s="19">
        <v>9242</v>
      </c>
      <c r="I11" s="19"/>
      <c r="J11" s="19">
        <v>0</v>
      </c>
      <c r="K11" s="19">
        <v>29.3</v>
      </c>
      <c r="L11" s="19">
        <v>270790.59999999998</v>
      </c>
      <c r="M11" s="19">
        <v>1</v>
      </c>
      <c r="N11" s="19">
        <v>29.3</v>
      </c>
      <c r="O11" s="19">
        <v>270790.59999999998</v>
      </c>
      <c r="P11" s="19">
        <v>16.92337478</v>
      </c>
      <c r="Q11" s="19" t="s">
        <v>168</v>
      </c>
      <c r="R11" s="19">
        <v>0</v>
      </c>
      <c r="S11" s="19">
        <v>1</v>
      </c>
      <c r="T11" s="19" t="s">
        <v>168</v>
      </c>
      <c r="U11" s="19">
        <v>0</v>
      </c>
      <c r="V11" s="19">
        <v>0</v>
      </c>
      <c r="W11" s="19">
        <v>1</v>
      </c>
    </row>
    <row r="12" spans="1:35" x14ac:dyDescent="0.3">
      <c r="A12" s="19" t="s">
        <v>174</v>
      </c>
      <c r="B12" s="19" t="s">
        <v>175</v>
      </c>
      <c r="C12" s="19" t="s">
        <v>176</v>
      </c>
      <c r="D12" s="19" t="s">
        <v>177</v>
      </c>
      <c r="E12" s="19" t="s">
        <v>178</v>
      </c>
      <c r="F12" s="19" t="s">
        <v>179</v>
      </c>
      <c r="G12" s="19" t="s">
        <v>26</v>
      </c>
      <c r="H12" s="19">
        <v>1555</v>
      </c>
      <c r="I12" s="19"/>
      <c r="J12" s="19">
        <v>0</v>
      </c>
      <c r="K12" s="19">
        <v>4.34</v>
      </c>
      <c r="L12" s="19">
        <v>6748.7</v>
      </c>
      <c r="M12" s="19">
        <v>0.74593500000000001</v>
      </c>
      <c r="N12" s="19">
        <v>5.8182010000000002</v>
      </c>
      <c r="O12" s="19">
        <v>9047.2999999999993</v>
      </c>
      <c r="P12" s="19">
        <v>0.56542157999999998</v>
      </c>
      <c r="Q12" s="19" t="s">
        <v>168</v>
      </c>
      <c r="R12" s="19">
        <v>0</v>
      </c>
      <c r="S12" s="19">
        <v>1</v>
      </c>
      <c r="T12" s="19" t="s">
        <v>168</v>
      </c>
      <c r="U12" s="19">
        <v>0</v>
      </c>
      <c r="V12" s="19">
        <v>0</v>
      </c>
      <c r="W12" s="19">
        <v>1</v>
      </c>
    </row>
    <row r="13" spans="1:35" x14ac:dyDescent="0.3">
      <c r="A13" s="19" t="s">
        <v>180</v>
      </c>
      <c r="B13" s="19" t="s">
        <v>181</v>
      </c>
      <c r="C13" s="19" t="s">
        <v>182</v>
      </c>
      <c r="D13" s="19" t="s">
        <v>183</v>
      </c>
      <c r="E13" s="19" t="s">
        <v>184</v>
      </c>
      <c r="F13" s="19" t="s">
        <v>11</v>
      </c>
      <c r="G13" s="19" t="s">
        <v>26</v>
      </c>
      <c r="H13" s="19">
        <v>2423</v>
      </c>
      <c r="I13" s="19"/>
      <c r="J13" s="19">
        <v>0</v>
      </c>
      <c r="K13" s="19">
        <v>8.17</v>
      </c>
      <c r="L13" s="19">
        <v>19795.91</v>
      </c>
      <c r="M13" s="19">
        <v>1</v>
      </c>
      <c r="N13" s="19">
        <v>8.17</v>
      </c>
      <c r="O13" s="19">
        <v>19795.91</v>
      </c>
      <c r="P13" s="19">
        <v>1.2371685100000001</v>
      </c>
      <c r="Q13" s="19" t="s">
        <v>168</v>
      </c>
      <c r="R13" s="19">
        <v>0</v>
      </c>
      <c r="S13" s="19">
        <v>1</v>
      </c>
      <c r="T13" s="19" t="s">
        <v>168</v>
      </c>
      <c r="U13" s="19">
        <v>0</v>
      </c>
      <c r="V13" s="19">
        <v>0</v>
      </c>
      <c r="W13" s="19">
        <v>1</v>
      </c>
    </row>
    <row r="14" spans="1:35" x14ac:dyDescent="0.3">
      <c r="A14" s="19" t="s">
        <v>185</v>
      </c>
      <c r="B14" s="19" t="s">
        <v>186</v>
      </c>
      <c r="C14" s="19" t="s">
        <v>187</v>
      </c>
      <c r="D14" s="19" t="s">
        <v>188</v>
      </c>
      <c r="E14" s="19" t="s">
        <v>189</v>
      </c>
      <c r="F14" s="19" t="s">
        <v>11</v>
      </c>
      <c r="G14" s="19" t="s">
        <v>26</v>
      </c>
      <c r="H14" s="19">
        <v>512</v>
      </c>
      <c r="I14" s="19"/>
      <c r="J14" s="19">
        <v>0</v>
      </c>
      <c r="K14" s="19">
        <v>23.6</v>
      </c>
      <c r="L14" s="19">
        <v>12083.2</v>
      </c>
      <c r="M14" s="19">
        <v>1</v>
      </c>
      <c r="N14" s="19">
        <v>23.6</v>
      </c>
      <c r="O14" s="19">
        <v>12083.2</v>
      </c>
      <c r="P14" s="19">
        <v>0.75515368999999999</v>
      </c>
      <c r="Q14" s="19" t="s">
        <v>168</v>
      </c>
      <c r="R14" s="19">
        <v>0</v>
      </c>
      <c r="S14" s="19">
        <v>1</v>
      </c>
      <c r="T14" s="19" t="s">
        <v>168</v>
      </c>
      <c r="U14" s="19">
        <v>0</v>
      </c>
      <c r="V14" s="19">
        <v>0</v>
      </c>
      <c r="W14" s="19">
        <v>1</v>
      </c>
    </row>
    <row r="15" spans="1:35" x14ac:dyDescent="0.3">
      <c r="A15" s="19" t="s">
        <v>190</v>
      </c>
      <c r="B15" s="19" t="s">
        <v>191</v>
      </c>
      <c r="C15" s="19" t="s">
        <v>192</v>
      </c>
      <c r="D15" s="19" t="s">
        <v>193</v>
      </c>
      <c r="E15" s="19" t="s">
        <v>194</v>
      </c>
      <c r="F15" s="19" t="s">
        <v>11</v>
      </c>
      <c r="G15" s="19" t="s">
        <v>26</v>
      </c>
      <c r="H15" s="19">
        <v>3282</v>
      </c>
      <c r="I15" s="19"/>
      <c r="J15" s="19">
        <v>0</v>
      </c>
      <c r="K15" s="19">
        <v>4.38</v>
      </c>
      <c r="L15" s="19">
        <v>14375.16</v>
      </c>
      <c r="M15" s="19">
        <v>1</v>
      </c>
      <c r="N15" s="19">
        <v>4.38</v>
      </c>
      <c r="O15" s="19">
        <v>14375.16</v>
      </c>
      <c r="P15" s="19">
        <v>0.89839241000000003</v>
      </c>
      <c r="Q15" s="19" t="s">
        <v>168</v>
      </c>
      <c r="R15" s="19">
        <v>0</v>
      </c>
      <c r="S15" s="19">
        <v>1</v>
      </c>
      <c r="T15" s="19" t="s">
        <v>168</v>
      </c>
      <c r="U15" s="19">
        <v>0</v>
      </c>
      <c r="V15" s="19">
        <v>0</v>
      </c>
      <c r="W15" s="19">
        <v>1</v>
      </c>
    </row>
    <row r="16" spans="1:35" x14ac:dyDescent="0.3">
      <c r="A16" s="19" t="s">
        <v>195</v>
      </c>
      <c r="B16" s="19" t="s">
        <v>196</v>
      </c>
      <c r="C16" s="19" t="s">
        <v>197</v>
      </c>
      <c r="D16" s="19" t="s">
        <v>198</v>
      </c>
      <c r="E16" s="19" t="s">
        <v>199</v>
      </c>
      <c r="F16" s="19" t="s">
        <v>11</v>
      </c>
      <c r="G16" s="19" t="s">
        <v>26</v>
      </c>
      <c r="H16" s="19">
        <v>4249</v>
      </c>
      <c r="I16" s="19"/>
      <c r="J16" s="19">
        <v>0</v>
      </c>
      <c r="K16" s="19">
        <v>9.93</v>
      </c>
      <c r="L16" s="19">
        <v>42192.57</v>
      </c>
      <c r="M16" s="19">
        <v>1</v>
      </c>
      <c r="N16" s="19">
        <v>9.93</v>
      </c>
      <c r="O16" s="19">
        <v>42192.57</v>
      </c>
      <c r="P16" s="19">
        <v>2.6368739400000001</v>
      </c>
      <c r="Q16" s="19" t="s">
        <v>168</v>
      </c>
      <c r="R16" s="19">
        <v>0</v>
      </c>
      <c r="S16" s="19">
        <v>1</v>
      </c>
      <c r="T16" s="19" t="s">
        <v>168</v>
      </c>
      <c r="U16" s="19">
        <v>0</v>
      </c>
      <c r="V16" s="19">
        <v>0</v>
      </c>
      <c r="W16" s="19">
        <v>1</v>
      </c>
    </row>
    <row r="17" spans="1:23" x14ac:dyDescent="0.3">
      <c r="A17" s="19" t="s">
        <v>200</v>
      </c>
      <c r="B17" s="19" t="s">
        <v>201</v>
      </c>
      <c r="C17" s="19" t="s">
        <v>202</v>
      </c>
      <c r="D17" s="19" t="s">
        <v>203</v>
      </c>
      <c r="E17" s="19" t="s">
        <v>632</v>
      </c>
      <c r="F17" s="19" t="s">
        <v>11</v>
      </c>
      <c r="G17" s="19" t="s">
        <v>26</v>
      </c>
      <c r="H17" s="19">
        <v>13313</v>
      </c>
      <c r="I17" s="19"/>
      <c r="J17" s="19">
        <v>0</v>
      </c>
      <c r="K17" s="19">
        <v>3.76</v>
      </c>
      <c r="L17" s="19">
        <v>50056.88</v>
      </c>
      <c r="M17" s="19">
        <v>1</v>
      </c>
      <c r="N17" s="19">
        <v>3.76</v>
      </c>
      <c r="O17" s="19">
        <v>50056.88</v>
      </c>
      <c r="P17" s="19">
        <v>3.1283631700000001</v>
      </c>
      <c r="Q17" s="19" t="s">
        <v>168</v>
      </c>
      <c r="R17" s="19">
        <v>0</v>
      </c>
      <c r="S17" s="19">
        <v>1</v>
      </c>
      <c r="T17" s="19" t="s">
        <v>168</v>
      </c>
      <c r="U17" s="19">
        <v>0</v>
      </c>
      <c r="V17" s="19">
        <v>0</v>
      </c>
      <c r="W17" s="19">
        <v>1</v>
      </c>
    </row>
    <row r="18" spans="1:23" x14ac:dyDescent="0.3">
      <c r="A18" s="19" t="s">
        <v>204</v>
      </c>
      <c r="B18" s="19" t="s">
        <v>205</v>
      </c>
      <c r="C18" s="19" t="s">
        <v>206</v>
      </c>
      <c r="D18" s="19" t="s">
        <v>207</v>
      </c>
      <c r="E18" s="19" t="s">
        <v>208</v>
      </c>
      <c r="F18" s="19" t="s">
        <v>11</v>
      </c>
      <c r="G18" s="19" t="s">
        <v>26</v>
      </c>
      <c r="H18" s="19">
        <v>22567</v>
      </c>
      <c r="I18" s="19"/>
      <c r="J18" s="19">
        <v>0</v>
      </c>
      <c r="K18" s="19">
        <v>2.19</v>
      </c>
      <c r="L18" s="19">
        <v>49421.73</v>
      </c>
      <c r="M18" s="19">
        <v>1</v>
      </c>
      <c r="N18" s="19">
        <v>2.19</v>
      </c>
      <c r="O18" s="19">
        <v>49421.73</v>
      </c>
      <c r="P18" s="19">
        <v>3.0886687300000002</v>
      </c>
      <c r="Q18" s="19" t="s">
        <v>168</v>
      </c>
      <c r="R18" s="19">
        <v>0</v>
      </c>
      <c r="S18" s="19">
        <v>1</v>
      </c>
      <c r="T18" s="19" t="s">
        <v>168</v>
      </c>
      <c r="U18" s="19">
        <v>0</v>
      </c>
      <c r="V18" s="19">
        <v>0</v>
      </c>
      <c r="W18" s="19">
        <v>1</v>
      </c>
    </row>
    <row r="19" spans="1:23" x14ac:dyDescent="0.3">
      <c r="A19" s="19" t="s">
        <v>209</v>
      </c>
      <c r="B19" s="19" t="s">
        <v>210</v>
      </c>
      <c r="C19" s="19" t="s">
        <v>211</v>
      </c>
      <c r="D19" s="19" t="s">
        <v>212</v>
      </c>
      <c r="E19" s="19" t="s">
        <v>213</v>
      </c>
      <c r="F19" s="19" t="s">
        <v>179</v>
      </c>
      <c r="G19" s="19" t="s">
        <v>26</v>
      </c>
      <c r="H19" s="19">
        <v>5997</v>
      </c>
      <c r="I19" s="19"/>
      <c r="J19" s="19">
        <v>0</v>
      </c>
      <c r="K19" s="19">
        <v>5</v>
      </c>
      <c r="L19" s="19">
        <v>29985</v>
      </c>
      <c r="M19" s="19">
        <v>0.74593500000000001</v>
      </c>
      <c r="N19" s="19">
        <v>6.7029969999999999</v>
      </c>
      <c r="O19" s="19">
        <v>40197.870000000003</v>
      </c>
      <c r="P19" s="19">
        <v>2.5122128300000002</v>
      </c>
      <c r="Q19" s="19" t="s">
        <v>168</v>
      </c>
      <c r="R19" s="19">
        <v>0</v>
      </c>
      <c r="S19" s="19">
        <v>1</v>
      </c>
      <c r="T19" s="19" t="s">
        <v>168</v>
      </c>
      <c r="U19" s="19">
        <v>0</v>
      </c>
      <c r="V19" s="19">
        <v>0</v>
      </c>
      <c r="W19" s="19">
        <v>1</v>
      </c>
    </row>
    <row r="20" spans="1:23" x14ac:dyDescent="0.3">
      <c r="A20" s="19" t="s">
        <v>214</v>
      </c>
      <c r="B20" s="19" t="s">
        <v>215</v>
      </c>
      <c r="C20" s="19" t="s">
        <v>216</v>
      </c>
      <c r="D20" s="19" t="s">
        <v>217</v>
      </c>
      <c r="E20" s="19" t="s">
        <v>633</v>
      </c>
      <c r="F20" s="19" t="s">
        <v>179</v>
      </c>
      <c r="G20" s="19" t="s">
        <v>26</v>
      </c>
      <c r="H20" s="19">
        <v>1066</v>
      </c>
      <c r="I20" s="19"/>
      <c r="J20" s="19">
        <v>0</v>
      </c>
      <c r="K20" s="19">
        <v>66.069999999999993</v>
      </c>
      <c r="L20" s="19">
        <v>70430.62</v>
      </c>
      <c r="M20" s="19">
        <v>0.74593500000000001</v>
      </c>
      <c r="N20" s="19">
        <v>88.573401000000004</v>
      </c>
      <c r="O20" s="19">
        <v>94419.25</v>
      </c>
      <c r="P20" s="19">
        <v>5.9008412899999998</v>
      </c>
      <c r="Q20" s="19" t="s">
        <v>168</v>
      </c>
      <c r="R20" s="19">
        <v>0</v>
      </c>
      <c r="S20" s="19">
        <v>1</v>
      </c>
      <c r="T20" s="19" t="s">
        <v>168</v>
      </c>
      <c r="U20" s="19">
        <v>0</v>
      </c>
      <c r="V20" s="19">
        <v>0</v>
      </c>
      <c r="W20" s="19">
        <v>1</v>
      </c>
    </row>
    <row r="21" spans="1:23" x14ac:dyDescent="0.3">
      <c r="A21" s="19" t="s">
        <v>218</v>
      </c>
      <c r="B21" s="19" t="s">
        <v>219</v>
      </c>
      <c r="C21" s="19" t="s">
        <v>220</v>
      </c>
      <c r="D21" s="19" t="s">
        <v>221</v>
      </c>
      <c r="E21" s="19" t="s">
        <v>222</v>
      </c>
      <c r="F21" s="19" t="s">
        <v>179</v>
      </c>
      <c r="G21" s="19" t="s">
        <v>26</v>
      </c>
      <c r="H21" s="19">
        <v>939</v>
      </c>
      <c r="I21" s="19"/>
      <c r="J21" s="19">
        <v>0</v>
      </c>
      <c r="K21" s="19">
        <v>33.01</v>
      </c>
      <c r="L21" s="19">
        <v>30996.39</v>
      </c>
      <c r="M21" s="19">
        <v>0.74593500000000001</v>
      </c>
      <c r="N21" s="19">
        <v>44.253185999999999</v>
      </c>
      <c r="O21" s="19">
        <v>41553.74</v>
      </c>
      <c r="P21" s="19">
        <v>2.59694951</v>
      </c>
      <c r="Q21" s="19" t="s">
        <v>168</v>
      </c>
      <c r="R21" s="19">
        <v>0</v>
      </c>
      <c r="S21" s="19">
        <v>1</v>
      </c>
      <c r="T21" s="19" t="s">
        <v>168</v>
      </c>
      <c r="U21" s="19">
        <v>0</v>
      </c>
      <c r="V21" s="19">
        <v>0</v>
      </c>
      <c r="W21" s="19">
        <v>1</v>
      </c>
    </row>
    <row r="22" spans="1:23" x14ac:dyDescent="0.3">
      <c r="A22" s="19" t="s">
        <v>223</v>
      </c>
      <c r="B22" s="19" t="s">
        <v>224</v>
      </c>
      <c r="C22" s="19" t="s">
        <v>225</v>
      </c>
      <c r="D22" s="19" t="s">
        <v>226</v>
      </c>
      <c r="E22" s="19" t="s">
        <v>227</v>
      </c>
      <c r="F22" s="19" t="s">
        <v>11</v>
      </c>
      <c r="G22" s="19" t="s">
        <v>26</v>
      </c>
      <c r="H22" s="19">
        <v>16885</v>
      </c>
      <c r="I22" s="19"/>
      <c r="J22" s="19">
        <v>0</v>
      </c>
      <c r="K22" s="19">
        <v>3.07</v>
      </c>
      <c r="L22" s="19">
        <v>51836.95</v>
      </c>
      <c r="M22" s="19">
        <v>1</v>
      </c>
      <c r="N22" s="19">
        <v>3.07</v>
      </c>
      <c r="O22" s="19">
        <v>51836.95</v>
      </c>
      <c r="P22" s="19">
        <v>3.2396107299999999</v>
      </c>
      <c r="Q22" s="19" t="s">
        <v>168</v>
      </c>
      <c r="R22" s="19">
        <v>0</v>
      </c>
      <c r="S22" s="19">
        <v>1</v>
      </c>
      <c r="T22" s="19" t="s">
        <v>168</v>
      </c>
      <c r="U22" s="19">
        <v>0</v>
      </c>
      <c r="V22" s="19">
        <v>0</v>
      </c>
      <c r="W22" s="19">
        <v>1</v>
      </c>
    </row>
    <row r="23" spans="1:23" x14ac:dyDescent="0.3">
      <c r="A23" s="19" t="s">
        <v>228</v>
      </c>
      <c r="B23" s="19" t="s">
        <v>229</v>
      </c>
      <c r="C23" s="19" t="s">
        <v>230</v>
      </c>
      <c r="D23" s="19" t="s">
        <v>231</v>
      </c>
      <c r="E23" s="19" t="s">
        <v>232</v>
      </c>
      <c r="F23" s="19" t="s">
        <v>11</v>
      </c>
      <c r="G23" s="19" t="s">
        <v>26</v>
      </c>
      <c r="H23" s="19">
        <v>10614</v>
      </c>
      <c r="I23" s="19"/>
      <c r="J23" s="19">
        <v>0</v>
      </c>
      <c r="K23" s="19">
        <v>1.78</v>
      </c>
      <c r="L23" s="19">
        <v>18892.919999999998</v>
      </c>
      <c r="M23" s="19">
        <v>1</v>
      </c>
      <c r="N23" s="19">
        <v>1.78</v>
      </c>
      <c r="O23" s="19">
        <v>18892.919999999998</v>
      </c>
      <c r="P23" s="19">
        <v>1.1807350999999999</v>
      </c>
      <c r="Q23" s="19" t="s">
        <v>168</v>
      </c>
      <c r="R23" s="19">
        <v>0</v>
      </c>
      <c r="S23" s="19">
        <v>1</v>
      </c>
      <c r="T23" s="19" t="s">
        <v>168</v>
      </c>
      <c r="U23" s="19">
        <v>0</v>
      </c>
      <c r="V23" s="19">
        <v>0</v>
      </c>
      <c r="W23" s="19">
        <v>1</v>
      </c>
    </row>
    <row r="24" spans="1:23" x14ac:dyDescent="0.3">
      <c r="A24" s="19" t="s">
        <v>233</v>
      </c>
      <c r="B24" s="19" t="s">
        <v>234</v>
      </c>
      <c r="C24" s="19" t="s">
        <v>235</v>
      </c>
      <c r="D24" s="19" t="s">
        <v>236</v>
      </c>
      <c r="E24" s="19" t="s">
        <v>237</v>
      </c>
      <c r="F24" s="19" t="s">
        <v>11</v>
      </c>
      <c r="G24" s="19" t="s">
        <v>26</v>
      </c>
      <c r="H24" s="19">
        <v>6594</v>
      </c>
      <c r="I24" s="19"/>
      <c r="J24" s="19">
        <v>0</v>
      </c>
      <c r="K24" s="19">
        <v>5.64</v>
      </c>
      <c r="L24" s="19">
        <v>37190.160000000003</v>
      </c>
      <c r="M24" s="19">
        <v>1</v>
      </c>
      <c r="N24" s="19">
        <v>5.64</v>
      </c>
      <c r="O24" s="19">
        <v>37190.160000000003</v>
      </c>
      <c r="P24" s="19">
        <v>2.3242424800000001</v>
      </c>
      <c r="Q24" s="19" t="s">
        <v>168</v>
      </c>
      <c r="R24" s="19">
        <v>0</v>
      </c>
      <c r="S24" s="19">
        <v>1</v>
      </c>
      <c r="T24" s="19" t="s">
        <v>168</v>
      </c>
      <c r="U24" s="19">
        <v>-1</v>
      </c>
      <c r="V24" s="19">
        <v>0</v>
      </c>
      <c r="W24" s="19">
        <v>1</v>
      </c>
    </row>
    <row r="25" spans="1:23" x14ac:dyDescent="0.3">
      <c r="A25" s="19" t="s">
        <v>238</v>
      </c>
      <c r="B25" s="19" t="s">
        <v>239</v>
      </c>
      <c r="C25" s="19" t="s">
        <v>240</v>
      </c>
      <c r="D25" s="19" t="s">
        <v>241</v>
      </c>
      <c r="E25" s="19" t="s">
        <v>242</v>
      </c>
      <c r="F25" s="19" t="s">
        <v>11</v>
      </c>
      <c r="G25" s="19" t="s">
        <v>26</v>
      </c>
      <c r="H25" s="19">
        <v>6648</v>
      </c>
      <c r="I25" s="19"/>
      <c r="J25" s="19">
        <v>0</v>
      </c>
      <c r="K25" s="19">
        <v>26.08</v>
      </c>
      <c r="L25" s="19">
        <v>173379.84</v>
      </c>
      <c r="M25" s="19">
        <v>1</v>
      </c>
      <c r="N25" s="19">
        <v>26.08</v>
      </c>
      <c r="O25" s="19">
        <v>173379.84</v>
      </c>
      <c r="P25" s="19">
        <v>10.83557558</v>
      </c>
      <c r="Q25" s="19" t="s">
        <v>168</v>
      </c>
      <c r="R25" s="19">
        <v>0</v>
      </c>
      <c r="S25" s="19">
        <v>1</v>
      </c>
      <c r="T25" s="19" t="s">
        <v>168</v>
      </c>
      <c r="U25" s="19">
        <v>0</v>
      </c>
      <c r="V25" s="19">
        <v>0</v>
      </c>
      <c r="W25" s="19">
        <v>1</v>
      </c>
    </row>
    <row r="26" spans="1:23" x14ac:dyDescent="0.3">
      <c r="A26" s="19" t="s">
        <v>243</v>
      </c>
      <c r="B26" s="19" t="s">
        <v>244</v>
      </c>
      <c r="C26" s="19" t="s">
        <v>245</v>
      </c>
      <c r="D26" s="19" t="s">
        <v>246</v>
      </c>
      <c r="E26" s="19" t="s">
        <v>247</v>
      </c>
      <c r="F26" s="19" t="s">
        <v>11</v>
      </c>
      <c r="G26" s="19" t="s">
        <v>26</v>
      </c>
      <c r="H26" s="19">
        <v>2547</v>
      </c>
      <c r="I26" s="19"/>
      <c r="J26" s="19">
        <v>0</v>
      </c>
      <c r="K26" s="19">
        <v>7.98</v>
      </c>
      <c r="L26" s="19">
        <v>20325.060000000001</v>
      </c>
      <c r="M26" s="19">
        <v>1</v>
      </c>
      <c r="N26" s="19">
        <v>7.98</v>
      </c>
      <c r="O26" s="19">
        <v>20325.060000000001</v>
      </c>
      <c r="P26" s="19">
        <v>1.27023836</v>
      </c>
      <c r="Q26" s="19" t="s">
        <v>168</v>
      </c>
      <c r="R26" s="19">
        <v>0</v>
      </c>
      <c r="S26" s="19">
        <v>1</v>
      </c>
      <c r="T26" s="19" t="s">
        <v>168</v>
      </c>
      <c r="U26" s="19">
        <v>0</v>
      </c>
      <c r="V26" s="19">
        <v>0</v>
      </c>
      <c r="W26" s="19">
        <v>1</v>
      </c>
    </row>
    <row r="27" spans="1:23" x14ac:dyDescent="0.3">
      <c r="A27" s="19" t="s">
        <v>248</v>
      </c>
      <c r="B27" s="19" t="s">
        <v>249</v>
      </c>
      <c r="C27" s="19" t="s">
        <v>250</v>
      </c>
      <c r="D27" s="19" t="s">
        <v>251</v>
      </c>
      <c r="E27" s="19" t="s">
        <v>252</v>
      </c>
      <c r="F27" s="19" t="s">
        <v>11</v>
      </c>
      <c r="G27" s="19" t="s">
        <v>26</v>
      </c>
      <c r="H27" s="19">
        <v>1345</v>
      </c>
      <c r="I27" s="19"/>
      <c r="J27" s="19">
        <v>0</v>
      </c>
      <c r="K27" s="19">
        <v>20.399999999999999</v>
      </c>
      <c r="L27" s="19">
        <v>27438</v>
      </c>
      <c r="M27" s="19">
        <v>1</v>
      </c>
      <c r="N27" s="19">
        <v>20.399999999999999</v>
      </c>
      <c r="O27" s="19">
        <v>27438</v>
      </c>
      <c r="P27" s="19">
        <v>1.7147698499999999</v>
      </c>
      <c r="Q27" s="19" t="s">
        <v>168</v>
      </c>
      <c r="R27" s="19">
        <v>0</v>
      </c>
      <c r="S27" s="19">
        <v>1</v>
      </c>
      <c r="T27" s="19" t="s">
        <v>168</v>
      </c>
      <c r="U27" s="19">
        <v>0</v>
      </c>
      <c r="V27" s="19">
        <v>0</v>
      </c>
      <c r="W27" s="19">
        <v>1</v>
      </c>
    </row>
    <row r="28" spans="1:23" x14ac:dyDescent="0.3">
      <c r="A28" s="19" t="s">
        <v>253</v>
      </c>
      <c r="B28" s="19" t="s">
        <v>254</v>
      </c>
      <c r="C28" s="19" t="s">
        <v>255</v>
      </c>
      <c r="D28" s="19" t="s">
        <v>256</v>
      </c>
      <c r="E28" s="19" t="s">
        <v>257</v>
      </c>
      <c r="F28" s="19" t="s">
        <v>11</v>
      </c>
      <c r="G28" s="19" t="s">
        <v>26</v>
      </c>
      <c r="H28" s="19">
        <v>29972</v>
      </c>
      <c r="I28" s="19"/>
      <c r="J28" s="19">
        <v>0</v>
      </c>
      <c r="K28" s="19">
        <v>0.93</v>
      </c>
      <c r="L28" s="19">
        <v>27873.96</v>
      </c>
      <c r="M28" s="19">
        <v>1</v>
      </c>
      <c r="N28" s="19">
        <v>0.93</v>
      </c>
      <c r="O28" s="19">
        <v>27873.96</v>
      </c>
      <c r="P28" s="19">
        <v>1.74201568</v>
      </c>
      <c r="Q28" s="19" t="s">
        <v>168</v>
      </c>
      <c r="R28" s="19">
        <v>0</v>
      </c>
      <c r="S28" s="19">
        <v>1</v>
      </c>
      <c r="T28" s="19" t="s">
        <v>168</v>
      </c>
      <c r="U28" s="19">
        <v>0</v>
      </c>
      <c r="V28" s="19">
        <v>0</v>
      </c>
      <c r="W28" s="19">
        <v>1</v>
      </c>
    </row>
    <row r="29" spans="1:23" x14ac:dyDescent="0.3">
      <c r="A29" s="19" t="s">
        <v>258</v>
      </c>
      <c r="B29" s="19" t="s">
        <v>259</v>
      </c>
      <c r="C29" s="19" t="s">
        <v>260</v>
      </c>
      <c r="D29" s="19" t="s">
        <v>261</v>
      </c>
      <c r="E29" s="19" t="s">
        <v>262</v>
      </c>
      <c r="F29" s="19" t="s">
        <v>11</v>
      </c>
      <c r="G29" s="19" t="s">
        <v>26</v>
      </c>
      <c r="H29" s="19">
        <v>8464</v>
      </c>
      <c r="I29" s="19"/>
      <c r="J29" s="19">
        <v>0</v>
      </c>
      <c r="K29" s="19">
        <v>2.78</v>
      </c>
      <c r="L29" s="19">
        <v>23529.919999999998</v>
      </c>
      <c r="M29" s="19">
        <v>1</v>
      </c>
      <c r="N29" s="19">
        <v>2.78</v>
      </c>
      <c r="O29" s="19">
        <v>23529.919999999998</v>
      </c>
      <c r="P29" s="19">
        <v>1.47052983</v>
      </c>
      <c r="Q29" s="19" t="s">
        <v>168</v>
      </c>
      <c r="R29" s="19">
        <v>0</v>
      </c>
      <c r="S29" s="19">
        <v>1</v>
      </c>
      <c r="T29" s="19" t="s">
        <v>168</v>
      </c>
      <c r="U29" s="19">
        <v>0</v>
      </c>
      <c r="V29" s="19">
        <v>0</v>
      </c>
      <c r="W29" s="19">
        <v>1</v>
      </c>
    </row>
    <row r="30" spans="1:23" x14ac:dyDescent="0.3">
      <c r="A30" s="19" t="s">
        <v>263</v>
      </c>
      <c r="B30" s="19" t="s">
        <v>264</v>
      </c>
      <c r="C30" s="19" t="s">
        <v>265</v>
      </c>
      <c r="D30" s="19" t="s">
        <v>266</v>
      </c>
      <c r="E30" s="19" t="s">
        <v>267</v>
      </c>
      <c r="F30" s="19" t="s">
        <v>11</v>
      </c>
      <c r="G30" s="19" t="s">
        <v>26</v>
      </c>
      <c r="H30" s="19">
        <v>11325</v>
      </c>
      <c r="I30" s="19"/>
      <c r="J30" s="19">
        <v>0</v>
      </c>
      <c r="K30" s="19">
        <v>2.15</v>
      </c>
      <c r="L30" s="19">
        <v>24348.75</v>
      </c>
      <c r="M30" s="19">
        <v>1</v>
      </c>
      <c r="N30" s="19">
        <v>2.15</v>
      </c>
      <c r="O30" s="19">
        <v>24348.75</v>
      </c>
      <c r="P30" s="19">
        <v>1.5217035699999999</v>
      </c>
      <c r="Q30" s="19" t="s">
        <v>168</v>
      </c>
      <c r="R30" s="19">
        <v>0</v>
      </c>
      <c r="S30" s="19">
        <v>1</v>
      </c>
      <c r="T30" s="19" t="s">
        <v>168</v>
      </c>
      <c r="U30" s="19">
        <v>0</v>
      </c>
      <c r="V30" s="19">
        <v>0</v>
      </c>
      <c r="W30" s="19">
        <v>1</v>
      </c>
    </row>
    <row r="31" spans="1:23" x14ac:dyDescent="0.3">
      <c r="A31" s="19" t="s">
        <v>268</v>
      </c>
      <c r="B31" s="19" t="s">
        <v>269</v>
      </c>
      <c r="C31" s="19" t="s">
        <v>270</v>
      </c>
      <c r="D31" s="19" t="s">
        <v>271</v>
      </c>
      <c r="E31" s="19" t="s">
        <v>272</v>
      </c>
      <c r="F31" s="19" t="s">
        <v>11</v>
      </c>
      <c r="G31" s="19" t="s">
        <v>26</v>
      </c>
      <c r="H31" s="19">
        <v>6276</v>
      </c>
      <c r="I31" s="19"/>
      <c r="J31" s="19">
        <v>0</v>
      </c>
      <c r="K31" s="19">
        <v>2.71</v>
      </c>
      <c r="L31" s="19">
        <v>17007.96</v>
      </c>
      <c r="M31" s="19">
        <v>1</v>
      </c>
      <c r="N31" s="19">
        <v>2.71</v>
      </c>
      <c r="O31" s="19">
        <v>17007.96</v>
      </c>
      <c r="P31" s="19">
        <v>1.06293232</v>
      </c>
      <c r="Q31" s="19" t="s">
        <v>168</v>
      </c>
      <c r="R31" s="19">
        <v>0</v>
      </c>
      <c r="S31" s="19">
        <v>1</v>
      </c>
      <c r="T31" s="19" t="s">
        <v>168</v>
      </c>
      <c r="U31" s="19">
        <v>0</v>
      </c>
      <c r="V31" s="19">
        <v>0</v>
      </c>
      <c r="W31" s="19">
        <v>1</v>
      </c>
    </row>
    <row r="32" spans="1:23" x14ac:dyDescent="0.3">
      <c r="A32" s="19" t="s">
        <v>273</v>
      </c>
      <c r="B32" s="19" t="s">
        <v>274</v>
      </c>
      <c r="C32" s="19" t="s">
        <v>275</v>
      </c>
      <c r="D32" s="19" t="s">
        <v>276</v>
      </c>
      <c r="E32" s="19" t="s">
        <v>277</v>
      </c>
      <c r="F32" s="19" t="s">
        <v>11</v>
      </c>
      <c r="G32" s="19" t="s">
        <v>26</v>
      </c>
      <c r="H32" s="19">
        <v>38920</v>
      </c>
      <c r="I32" s="19"/>
      <c r="J32" s="19">
        <v>0</v>
      </c>
      <c r="K32" s="19">
        <v>2.48</v>
      </c>
      <c r="L32" s="19">
        <v>96521.600000000006</v>
      </c>
      <c r="M32" s="19">
        <v>1</v>
      </c>
      <c r="N32" s="19">
        <v>2.48</v>
      </c>
      <c r="O32" s="19">
        <v>96521.600000000006</v>
      </c>
      <c r="P32" s="19">
        <v>6.0322301100000004</v>
      </c>
      <c r="Q32" s="19" t="s">
        <v>168</v>
      </c>
      <c r="R32" s="19">
        <v>0</v>
      </c>
      <c r="S32" s="19">
        <v>1</v>
      </c>
      <c r="T32" s="19" t="s">
        <v>168</v>
      </c>
      <c r="U32" s="19">
        <v>-1</v>
      </c>
      <c r="V32" s="19">
        <v>0</v>
      </c>
      <c r="W32" s="19">
        <v>1</v>
      </c>
    </row>
    <row r="33" spans="1:23" x14ac:dyDescent="0.3">
      <c r="A33" s="19" t="s">
        <v>278</v>
      </c>
      <c r="B33" s="19" t="s">
        <v>279</v>
      </c>
      <c r="C33" s="19" t="s">
        <v>280</v>
      </c>
      <c r="D33" s="19" t="s">
        <v>281</v>
      </c>
      <c r="E33" s="19" t="s">
        <v>282</v>
      </c>
      <c r="F33" s="19" t="s">
        <v>11</v>
      </c>
      <c r="G33" s="19" t="s">
        <v>26</v>
      </c>
      <c r="H33" s="19">
        <v>4699</v>
      </c>
      <c r="I33" s="19"/>
      <c r="J33" s="19">
        <v>0</v>
      </c>
      <c r="K33" s="19">
        <v>1.97</v>
      </c>
      <c r="L33" s="19">
        <v>9257.0300000000007</v>
      </c>
      <c r="M33" s="19">
        <v>1</v>
      </c>
      <c r="N33" s="19">
        <v>1.97</v>
      </c>
      <c r="O33" s="19">
        <v>9257.0300000000007</v>
      </c>
      <c r="P33" s="19">
        <v>0.57852890000000001</v>
      </c>
      <c r="Q33" s="19" t="s">
        <v>168</v>
      </c>
      <c r="R33" s="19">
        <v>0</v>
      </c>
      <c r="S33" s="19">
        <v>1</v>
      </c>
      <c r="T33" s="19" t="s">
        <v>168</v>
      </c>
      <c r="U33" s="19">
        <v>0</v>
      </c>
      <c r="V33" s="19">
        <v>0</v>
      </c>
      <c r="W33" s="19">
        <v>1</v>
      </c>
    </row>
    <row r="34" spans="1:23" x14ac:dyDescent="0.3">
      <c r="A34" s="19" t="s">
        <v>283</v>
      </c>
      <c r="B34" s="19" t="s">
        <v>284</v>
      </c>
      <c r="C34" s="19" t="s">
        <v>285</v>
      </c>
      <c r="D34" s="19" t="s">
        <v>286</v>
      </c>
      <c r="E34" s="19" t="s">
        <v>287</v>
      </c>
      <c r="F34" s="19" t="s">
        <v>11</v>
      </c>
      <c r="G34" s="19" t="s">
        <v>26</v>
      </c>
      <c r="H34" s="19">
        <v>14842</v>
      </c>
      <c r="I34" s="19"/>
      <c r="J34" s="19">
        <v>0</v>
      </c>
      <c r="K34" s="19">
        <v>1.95</v>
      </c>
      <c r="L34" s="19">
        <v>28941.9</v>
      </c>
      <c r="M34" s="19">
        <v>1</v>
      </c>
      <c r="N34" s="19">
        <v>1.95</v>
      </c>
      <c r="O34" s="19">
        <v>28941.9</v>
      </c>
      <c r="P34" s="19">
        <v>1.80875784</v>
      </c>
      <c r="Q34" s="19" t="s">
        <v>168</v>
      </c>
      <c r="R34" s="19">
        <v>0</v>
      </c>
      <c r="S34" s="19">
        <v>1</v>
      </c>
      <c r="T34" s="19" t="s">
        <v>168</v>
      </c>
      <c r="U34" s="19">
        <v>0</v>
      </c>
      <c r="V34" s="19">
        <v>0</v>
      </c>
      <c r="W34" s="19">
        <v>1</v>
      </c>
    </row>
    <row r="35" spans="1:23" x14ac:dyDescent="0.3">
      <c r="A35" s="19" t="s">
        <v>288</v>
      </c>
      <c r="B35" s="19" t="s">
        <v>289</v>
      </c>
      <c r="C35" s="19" t="s">
        <v>290</v>
      </c>
      <c r="D35" s="19" t="s">
        <v>291</v>
      </c>
      <c r="E35" s="19" t="s">
        <v>402</v>
      </c>
      <c r="F35" s="19" t="s">
        <v>11</v>
      </c>
      <c r="G35" s="19" t="s">
        <v>26</v>
      </c>
      <c r="H35" s="19">
        <v>18095</v>
      </c>
      <c r="I35" s="19"/>
      <c r="J35" s="19">
        <v>0</v>
      </c>
      <c r="K35" s="19">
        <v>11.88</v>
      </c>
      <c r="L35" s="19">
        <v>214968.6</v>
      </c>
      <c r="M35" s="19">
        <v>1</v>
      </c>
      <c r="N35" s="19">
        <v>11.88</v>
      </c>
      <c r="O35" s="19">
        <v>214968.6</v>
      </c>
      <c r="P35" s="19">
        <v>13.4347137</v>
      </c>
      <c r="Q35" s="19" t="s">
        <v>168</v>
      </c>
      <c r="R35" s="19">
        <v>0</v>
      </c>
      <c r="S35" s="19">
        <v>1</v>
      </c>
      <c r="T35" s="19" t="s">
        <v>168</v>
      </c>
      <c r="U35" s="19">
        <v>0</v>
      </c>
      <c r="V35" s="19">
        <v>0</v>
      </c>
      <c r="W35" s="19">
        <v>1</v>
      </c>
    </row>
    <row r="36" spans="1:23" x14ac:dyDescent="0.3">
      <c r="A36" s="19" t="s">
        <v>292</v>
      </c>
      <c r="B36" s="19" t="s">
        <v>293</v>
      </c>
      <c r="C36" s="19" t="s">
        <v>294</v>
      </c>
      <c r="D36" s="19" t="s">
        <v>295</v>
      </c>
      <c r="E36" s="19" t="s">
        <v>296</v>
      </c>
      <c r="F36" s="19" t="s">
        <v>11</v>
      </c>
      <c r="G36" s="19" t="s">
        <v>26</v>
      </c>
      <c r="H36" s="19">
        <v>50737</v>
      </c>
      <c r="I36" s="19"/>
      <c r="J36" s="19">
        <v>0</v>
      </c>
      <c r="K36" s="19">
        <v>0.78</v>
      </c>
      <c r="L36" s="19">
        <v>39574.86</v>
      </c>
      <c r="M36" s="19">
        <v>1</v>
      </c>
      <c r="N36" s="19">
        <v>0.78</v>
      </c>
      <c r="O36" s="19">
        <v>39574.86</v>
      </c>
      <c r="P36" s="19">
        <v>2.4732770899999998</v>
      </c>
      <c r="Q36" s="19" t="s">
        <v>168</v>
      </c>
      <c r="R36" s="19">
        <v>0</v>
      </c>
      <c r="S36" s="19">
        <v>1</v>
      </c>
      <c r="T36" s="19" t="s">
        <v>168</v>
      </c>
      <c r="U36" s="19">
        <v>0</v>
      </c>
      <c r="V36" s="19">
        <v>0</v>
      </c>
      <c r="W36" s="19">
        <v>1</v>
      </c>
    </row>
    <row r="37" spans="1:23" x14ac:dyDescent="0.3">
      <c r="A37" s="19" t="s">
        <v>297</v>
      </c>
      <c r="B37" s="19" t="s">
        <v>298</v>
      </c>
      <c r="C37" s="19" t="s">
        <v>299</v>
      </c>
      <c r="D37" s="19" t="s">
        <v>300</v>
      </c>
      <c r="E37" s="19" t="s">
        <v>301</v>
      </c>
      <c r="F37" s="19" t="s">
        <v>11</v>
      </c>
      <c r="G37" s="19" t="s">
        <v>26</v>
      </c>
      <c r="H37" s="19">
        <v>10970</v>
      </c>
      <c r="I37" s="19"/>
      <c r="J37" s="19">
        <v>0</v>
      </c>
      <c r="K37" s="19">
        <v>5.45</v>
      </c>
      <c r="L37" s="19">
        <v>59786.5</v>
      </c>
      <c r="M37" s="19">
        <v>1</v>
      </c>
      <c r="N37" s="19">
        <v>5.45</v>
      </c>
      <c r="O37" s="19">
        <v>59786.5</v>
      </c>
      <c r="P37" s="19">
        <v>3.73642714</v>
      </c>
      <c r="Q37" s="19" t="s">
        <v>168</v>
      </c>
      <c r="R37" s="19">
        <v>0</v>
      </c>
      <c r="S37" s="19">
        <v>1</v>
      </c>
      <c r="T37" s="19" t="s">
        <v>168</v>
      </c>
      <c r="U37" s="19">
        <v>0</v>
      </c>
      <c r="V37" s="19">
        <v>0</v>
      </c>
      <c r="W37" s="19">
        <v>1</v>
      </c>
    </row>
    <row r="38" spans="1:23" x14ac:dyDescent="0.3">
      <c r="A38" s="19" t="s">
        <v>302</v>
      </c>
      <c r="B38" s="19" t="s">
        <v>303</v>
      </c>
      <c r="C38" s="19" t="s">
        <v>304</v>
      </c>
      <c r="D38" s="19" t="s">
        <v>305</v>
      </c>
      <c r="E38" s="19" t="s">
        <v>306</v>
      </c>
      <c r="F38" s="19" t="s">
        <v>11</v>
      </c>
      <c r="G38" s="19" t="s">
        <v>26</v>
      </c>
      <c r="H38" s="19">
        <v>7421</v>
      </c>
      <c r="I38" s="19"/>
      <c r="J38" s="19">
        <v>0</v>
      </c>
      <c r="K38" s="19">
        <v>5.48</v>
      </c>
      <c r="L38" s="19">
        <v>40667.08</v>
      </c>
      <c r="M38" s="19">
        <v>1</v>
      </c>
      <c r="N38" s="19">
        <v>5.48</v>
      </c>
      <c r="O38" s="19">
        <v>40667.08</v>
      </c>
      <c r="P38" s="19">
        <v>2.5415366599999998</v>
      </c>
      <c r="Q38" s="19" t="s">
        <v>168</v>
      </c>
      <c r="R38" s="19">
        <v>0</v>
      </c>
      <c r="S38" s="19">
        <v>1</v>
      </c>
      <c r="T38" s="19" t="s">
        <v>168</v>
      </c>
      <c r="U38" s="19">
        <v>-1</v>
      </c>
      <c r="V38" s="19">
        <v>0</v>
      </c>
      <c r="W38" s="19">
        <v>1</v>
      </c>
    </row>
    <row r="39" spans="1:23" x14ac:dyDescent="0.3">
      <c r="A39" s="19" t="s">
        <v>307</v>
      </c>
      <c r="B39" s="19" t="s">
        <v>308</v>
      </c>
      <c r="C39" s="19" t="s">
        <v>309</v>
      </c>
      <c r="D39" s="19" t="s">
        <v>310</v>
      </c>
      <c r="E39" s="19" t="s">
        <v>311</v>
      </c>
      <c r="F39" s="19" t="s">
        <v>11</v>
      </c>
      <c r="G39" s="19" t="s">
        <v>26</v>
      </c>
      <c r="H39" s="19">
        <v>10671</v>
      </c>
      <c r="I39" s="19"/>
      <c r="J39" s="19">
        <v>0</v>
      </c>
      <c r="K39" s="19">
        <v>1.26</v>
      </c>
      <c r="L39" s="19">
        <v>13445.46</v>
      </c>
      <c r="M39" s="19">
        <v>1</v>
      </c>
      <c r="N39" s="19">
        <v>1.26</v>
      </c>
      <c r="O39" s="19">
        <v>13445.46</v>
      </c>
      <c r="P39" s="19">
        <v>0.84028972000000002</v>
      </c>
      <c r="Q39" s="19" t="s">
        <v>168</v>
      </c>
      <c r="R39" s="19">
        <v>0</v>
      </c>
      <c r="S39" s="19">
        <v>1</v>
      </c>
      <c r="T39" s="19" t="s">
        <v>168</v>
      </c>
      <c r="U39" s="19">
        <v>0</v>
      </c>
      <c r="V39" s="19">
        <v>0</v>
      </c>
      <c r="W39" s="19">
        <v>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T75"/>
  <sheetViews>
    <sheetView zoomScale="70" zoomScaleNormal="70" workbookViewId="0">
      <selection activeCell="E34" sqref="E34"/>
    </sheetView>
  </sheetViews>
  <sheetFormatPr defaultRowHeight="14.4" x14ac:dyDescent="0.3"/>
  <cols>
    <col min="1" max="1" width="53" style="15" bestFit="1" customWidth="1"/>
    <col min="2" max="2" width="42.33203125" style="15" customWidth="1"/>
    <col min="3" max="3" width="21" style="15" bestFit="1" customWidth="1"/>
    <col min="4" max="4" width="10" style="15" bestFit="1" customWidth="1"/>
    <col min="5" max="5" width="21" style="15" bestFit="1" customWidth="1"/>
    <col min="6" max="6" width="22" style="15" bestFit="1" customWidth="1"/>
    <col min="7" max="7" width="19" style="15" bestFit="1" customWidth="1"/>
    <col min="8" max="8" width="31" style="15" bestFit="1" customWidth="1"/>
    <col min="9" max="10" width="9" style="15" bestFit="1" customWidth="1"/>
    <col min="11" max="11" width="20" style="15" bestFit="1" customWidth="1"/>
    <col min="12" max="12" width="19" style="15" bestFit="1" customWidth="1"/>
    <col min="13" max="15" width="0" style="7" hidden="1" bestFit="1" customWidth="1"/>
    <col min="16" max="16" width="9.109375" style="1"/>
    <col min="17" max="17" width="10.6640625" style="1" bestFit="1" customWidth="1"/>
    <col min="18" max="18" width="16.44140625" style="1" bestFit="1" customWidth="1"/>
    <col min="19" max="19" width="14.88671875" style="1" bestFit="1" customWidth="1"/>
    <col min="20" max="20" width="12.44140625" style="1" bestFit="1" customWidth="1"/>
    <col min="21" max="21" width="10.33203125" style="1" bestFit="1" customWidth="1"/>
    <col min="22" max="256" width="9.109375" style="1"/>
    <col min="257" max="257" width="53" style="1" bestFit="1" customWidth="1"/>
    <col min="258" max="259" width="21" style="1" bestFit="1" customWidth="1"/>
    <col min="260" max="260" width="10" style="1" bestFit="1" customWidth="1"/>
    <col min="261" max="261" width="21" style="1" bestFit="1" customWidth="1"/>
    <col min="262" max="262" width="22" style="1" bestFit="1" customWidth="1"/>
    <col min="263" max="263" width="19" style="1" bestFit="1" customWidth="1"/>
    <col min="264" max="264" width="31" style="1" bestFit="1" customWidth="1"/>
    <col min="265" max="266" width="9" style="1" bestFit="1" customWidth="1"/>
    <col min="267" max="267" width="20" style="1" bestFit="1" customWidth="1"/>
    <col min="268" max="268" width="19" style="1" bestFit="1" customWidth="1"/>
    <col min="269" max="271" width="0" style="1" hidden="1" bestFit="1" customWidth="1"/>
    <col min="272" max="512" width="9.109375" style="1"/>
    <col min="513" max="513" width="53" style="1" bestFit="1" customWidth="1"/>
    <col min="514" max="515" width="21" style="1" bestFit="1" customWidth="1"/>
    <col min="516" max="516" width="10" style="1" bestFit="1" customWidth="1"/>
    <col min="517" max="517" width="21" style="1" bestFit="1" customWidth="1"/>
    <col min="518" max="518" width="22" style="1" bestFit="1" customWidth="1"/>
    <col min="519" max="519" width="19" style="1" bestFit="1" customWidth="1"/>
    <col min="520" max="520" width="31" style="1" bestFit="1" customWidth="1"/>
    <col min="521" max="522" width="9" style="1" bestFit="1" customWidth="1"/>
    <col min="523" max="523" width="20" style="1" bestFit="1" customWidth="1"/>
    <col min="524" max="524" width="19" style="1" bestFit="1" customWidth="1"/>
    <col min="525" max="527" width="0" style="1" hidden="1" bestFit="1" customWidth="1"/>
    <col min="528" max="768" width="9.109375" style="1"/>
    <col min="769" max="769" width="53" style="1" bestFit="1" customWidth="1"/>
    <col min="770" max="771" width="21" style="1" bestFit="1" customWidth="1"/>
    <col min="772" max="772" width="10" style="1" bestFit="1" customWidth="1"/>
    <col min="773" max="773" width="21" style="1" bestFit="1" customWidth="1"/>
    <col min="774" max="774" width="22" style="1" bestFit="1" customWidth="1"/>
    <col min="775" max="775" width="19" style="1" bestFit="1" customWidth="1"/>
    <col min="776" max="776" width="31" style="1" bestFit="1" customWidth="1"/>
    <col min="777" max="778" width="9" style="1" bestFit="1" customWidth="1"/>
    <col min="779" max="779" width="20" style="1" bestFit="1" customWidth="1"/>
    <col min="780" max="780" width="19" style="1" bestFit="1" customWidth="1"/>
    <col min="781" max="783" width="0" style="1" hidden="1" bestFit="1" customWidth="1"/>
    <col min="784" max="1024" width="9.109375" style="1"/>
    <col min="1025" max="1025" width="53" style="1" bestFit="1" customWidth="1"/>
    <col min="1026" max="1027" width="21" style="1" bestFit="1" customWidth="1"/>
    <col min="1028" max="1028" width="10" style="1" bestFit="1" customWidth="1"/>
    <col min="1029" max="1029" width="21" style="1" bestFit="1" customWidth="1"/>
    <col min="1030" max="1030" width="22" style="1" bestFit="1" customWidth="1"/>
    <col min="1031" max="1031" width="19" style="1" bestFit="1" customWidth="1"/>
    <col min="1032" max="1032" width="31" style="1" bestFit="1" customWidth="1"/>
    <col min="1033" max="1034" width="9" style="1" bestFit="1" customWidth="1"/>
    <col min="1035" max="1035" width="20" style="1" bestFit="1" customWidth="1"/>
    <col min="1036" max="1036" width="19" style="1" bestFit="1" customWidth="1"/>
    <col min="1037" max="1039" width="0" style="1" hidden="1" bestFit="1" customWidth="1"/>
    <col min="1040" max="1280" width="9.109375" style="1"/>
    <col min="1281" max="1281" width="53" style="1" bestFit="1" customWidth="1"/>
    <col min="1282" max="1283" width="21" style="1" bestFit="1" customWidth="1"/>
    <col min="1284" max="1284" width="10" style="1" bestFit="1" customWidth="1"/>
    <col min="1285" max="1285" width="21" style="1" bestFit="1" customWidth="1"/>
    <col min="1286" max="1286" width="22" style="1" bestFit="1" customWidth="1"/>
    <col min="1287" max="1287" width="19" style="1" bestFit="1" customWidth="1"/>
    <col min="1288" max="1288" width="31" style="1" bestFit="1" customWidth="1"/>
    <col min="1289" max="1290" width="9" style="1" bestFit="1" customWidth="1"/>
    <col min="1291" max="1291" width="20" style="1" bestFit="1" customWidth="1"/>
    <col min="1292" max="1292" width="19" style="1" bestFit="1" customWidth="1"/>
    <col min="1293" max="1295" width="0" style="1" hidden="1" bestFit="1" customWidth="1"/>
    <col min="1296" max="1536" width="9.109375" style="1"/>
    <col min="1537" max="1537" width="53" style="1" bestFit="1" customWidth="1"/>
    <col min="1538" max="1539" width="21" style="1" bestFit="1" customWidth="1"/>
    <col min="1540" max="1540" width="10" style="1" bestFit="1" customWidth="1"/>
    <col min="1541" max="1541" width="21" style="1" bestFit="1" customWidth="1"/>
    <col min="1542" max="1542" width="22" style="1" bestFit="1" customWidth="1"/>
    <col min="1543" max="1543" width="19" style="1" bestFit="1" customWidth="1"/>
    <col min="1544" max="1544" width="31" style="1" bestFit="1" customWidth="1"/>
    <col min="1545" max="1546" width="9" style="1" bestFit="1" customWidth="1"/>
    <col min="1547" max="1547" width="20" style="1" bestFit="1" customWidth="1"/>
    <col min="1548" max="1548" width="19" style="1" bestFit="1" customWidth="1"/>
    <col min="1549" max="1551" width="0" style="1" hidden="1" bestFit="1" customWidth="1"/>
    <col min="1552" max="1792" width="9.109375" style="1"/>
    <col min="1793" max="1793" width="53" style="1" bestFit="1" customWidth="1"/>
    <col min="1794" max="1795" width="21" style="1" bestFit="1" customWidth="1"/>
    <col min="1796" max="1796" width="10" style="1" bestFit="1" customWidth="1"/>
    <col min="1797" max="1797" width="21" style="1" bestFit="1" customWidth="1"/>
    <col min="1798" max="1798" width="22" style="1" bestFit="1" customWidth="1"/>
    <col min="1799" max="1799" width="19" style="1" bestFit="1" customWidth="1"/>
    <col min="1800" max="1800" width="31" style="1" bestFit="1" customWidth="1"/>
    <col min="1801" max="1802" width="9" style="1" bestFit="1" customWidth="1"/>
    <col min="1803" max="1803" width="20" style="1" bestFit="1" customWidth="1"/>
    <col min="1804" max="1804" width="19" style="1" bestFit="1" customWidth="1"/>
    <col min="1805" max="1807" width="0" style="1" hidden="1" bestFit="1" customWidth="1"/>
    <col min="1808" max="2048" width="9.109375" style="1"/>
    <col min="2049" max="2049" width="53" style="1" bestFit="1" customWidth="1"/>
    <col min="2050" max="2051" width="21" style="1" bestFit="1" customWidth="1"/>
    <col min="2052" max="2052" width="10" style="1" bestFit="1" customWidth="1"/>
    <col min="2053" max="2053" width="21" style="1" bestFit="1" customWidth="1"/>
    <col min="2054" max="2054" width="22" style="1" bestFit="1" customWidth="1"/>
    <col min="2055" max="2055" width="19" style="1" bestFit="1" customWidth="1"/>
    <col min="2056" max="2056" width="31" style="1" bestFit="1" customWidth="1"/>
    <col min="2057" max="2058" width="9" style="1" bestFit="1" customWidth="1"/>
    <col min="2059" max="2059" width="20" style="1" bestFit="1" customWidth="1"/>
    <col min="2060" max="2060" width="19" style="1" bestFit="1" customWidth="1"/>
    <col min="2061" max="2063" width="0" style="1" hidden="1" bestFit="1" customWidth="1"/>
    <col min="2064" max="2304" width="9.109375" style="1"/>
    <col min="2305" max="2305" width="53" style="1" bestFit="1" customWidth="1"/>
    <col min="2306" max="2307" width="21" style="1" bestFit="1" customWidth="1"/>
    <col min="2308" max="2308" width="10" style="1" bestFit="1" customWidth="1"/>
    <col min="2309" max="2309" width="21" style="1" bestFit="1" customWidth="1"/>
    <col min="2310" max="2310" width="22" style="1" bestFit="1" customWidth="1"/>
    <col min="2311" max="2311" width="19" style="1" bestFit="1" customWidth="1"/>
    <col min="2312" max="2312" width="31" style="1" bestFit="1" customWidth="1"/>
    <col min="2313" max="2314" width="9" style="1" bestFit="1" customWidth="1"/>
    <col min="2315" max="2315" width="20" style="1" bestFit="1" customWidth="1"/>
    <col min="2316" max="2316" width="19" style="1" bestFit="1" customWidth="1"/>
    <col min="2317" max="2319" width="0" style="1" hidden="1" bestFit="1" customWidth="1"/>
    <col min="2320" max="2560" width="9.109375" style="1"/>
    <col min="2561" max="2561" width="53" style="1" bestFit="1" customWidth="1"/>
    <col min="2562" max="2563" width="21" style="1" bestFit="1" customWidth="1"/>
    <col min="2564" max="2564" width="10" style="1" bestFit="1" customWidth="1"/>
    <col min="2565" max="2565" width="21" style="1" bestFit="1" customWidth="1"/>
    <col min="2566" max="2566" width="22" style="1" bestFit="1" customWidth="1"/>
    <col min="2567" max="2567" width="19" style="1" bestFit="1" customWidth="1"/>
    <col min="2568" max="2568" width="31" style="1" bestFit="1" customWidth="1"/>
    <col min="2569" max="2570" width="9" style="1" bestFit="1" customWidth="1"/>
    <col min="2571" max="2571" width="20" style="1" bestFit="1" customWidth="1"/>
    <col min="2572" max="2572" width="19" style="1" bestFit="1" customWidth="1"/>
    <col min="2573" max="2575" width="0" style="1" hidden="1" bestFit="1" customWidth="1"/>
    <col min="2576" max="2816" width="9.109375" style="1"/>
    <col min="2817" max="2817" width="53" style="1" bestFit="1" customWidth="1"/>
    <col min="2818" max="2819" width="21" style="1" bestFit="1" customWidth="1"/>
    <col min="2820" max="2820" width="10" style="1" bestFit="1" customWidth="1"/>
    <col min="2821" max="2821" width="21" style="1" bestFit="1" customWidth="1"/>
    <col min="2822" max="2822" width="22" style="1" bestFit="1" customWidth="1"/>
    <col min="2823" max="2823" width="19" style="1" bestFit="1" customWidth="1"/>
    <col min="2824" max="2824" width="31" style="1" bestFit="1" customWidth="1"/>
    <col min="2825" max="2826" width="9" style="1" bestFit="1" customWidth="1"/>
    <col min="2827" max="2827" width="20" style="1" bestFit="1" customWidth="1"/>
    <col min="2828" max="2828" width="19" style="1" bestFit="1" customWidth="1"/>
    <col min="2829" max="2831" width="0" style="1" hidden="1" bestFit="1" customWidth="1"/>
    <col min="2832" max="3072" width="9.109375" style="1"/>
    <col min="3073" max="3073" width="53" style="1" bestFit="1" customWidth="1"/>
    <col min="3074" max="3075" width="21" style="1" bestFit="1" customWidth="1"/>
    <col min="3076" max="3076" width="10" style="1" bestFit="1" customWidth="1"/>
    <col min="3077" max="3077" width="21" style="1" bestFit="1" customWidth="1"/>
    <col min="3078" max="3078" width="22" style="1" bestFit="1" customWidth="1"/>
    <col min="3079" max="3079" width="19" style="1" bestFit="1" customWidth="1"/>
    <col min="3080" max="3080" width="31" style="1" bestFit="1" customWidth="1"/>
    <col min="3081" max="3082" width="9" style="1" bestFit="1" customWidth="1"/>
    <col min="3083" max="3083" width="20" style="1" bestFit="1" customWidth="1"/>
    <col min="3084" max="3084" width="19" style="1" bestFit="1" customWidth="1"/>
    <col min="3085" max="3087" width="0" style="1" hidden="1" bestFit="1" customWidth="1"/>
    <col min="3088" max="3328" width="9.109375" style="1"/>
    <col min="3329" max="3329" width="53" style="1" bestFit="1" customWidth="1"/>
    <col min="3330" max="3331" width="21" style="1" bestFit="1" customWidth="1"/>
    <col min="3332" max="3332" width="10" style="1" bestFit="1" customWidth="1"/>
    <col min="3333" max="3333" width="21" style="1" bestFit="1" customWidth="1"/>
    <col min="3334" max="3334" width="22" style="1" bestFit="1" customWidth="1"/>
    <col min="3335" max="3335" width="19" style="1" bestFit="1" customWidth="1"/>
    <col min="3336" max="3336" width="31" style="1" bestFit="1" customWidth="1"/>
    <col min="3337" max="3338" width="9" style="1" bestFit="1" customWidth="1"/>
    <col min="3339" max="3339" width="20" style="1" bestFit="1" customWidth="1"/>
    <col min="3340" max="3340" width="19" style="1" bestFit="1" customWidth="1"/>
    <col min="3341" max="3343" width="0" style="1" hidden="1" bestFit="1" customWidth="1"/>
    <col min="3344" max="3584" width="9.109375" style="1"/>
    <col min="3585" max="3585" width="53" style="1" bestFit="1" customWidth="1"/>
    <col min="3586" max="3587" width="21" style="1" bestFit="1" customWidth="1"/>
    <col min="3588" max="3588" width="10" style="1" bestFit="1" customWidth="1"/>
    <col min="3589" max="3589" width="21" style="1" bestFit="1" customWidth="1"/>
    <col min="3590" max="3590" width="22" style="1" bestFit="1" customWidth="1"/>
    <col min="3591" max="3591" width="19" style="1" bestFit="1" customWidth="1"/>
    <col min="3592" max="3592" width="31" style="1" bestFit="1" customWidth="1"/>
    <col min="3593" max="3594" width="9" style="1" bestFit="1" customWidth="1"/>
    <col min="3595" max="3595" width="20" style="1" bestFit="1" customWidth="1"/>
    <col min="3596" max="3596" width="19" style="1" bestFit="1" customWidth="1"/>
    <col min="3597" max="3599" width="0" style="1" hidden="1" bestFit="1" customWidth="1"/>
    <col min="3600" max="3840" width="9.109375" style="1"/>
    <col min="3841" max="3841" width="53" style="1" bestFit="1" customWidth="1"/>
    <col min="3842" max="3843" width="21" style="1" bestFit="1" customWidth="1"/>
    <col min="3844" max="3844" width="10" style="1" bestFit="1" customWidth="1"/>
    <col min="3845" max="3845" width="21" style="1" bestFit="1" customWidth="1"/>
    <col min="3846" max="3846" width="22" style="1" bestFit="1" customWidth="1"/>
    <col min="3847" max="3847" width="19" style="1" bestFit="1" customWidth="1"/>
    <col min="3848" max="3848" width="31" style="1" bestFit="1" customWidth="1"/>
    <col min="3849" max="3850" width="9" style="1" bestFit="1" customWidth="1"/>
    <col min="3851" max="3851" width="20" style="1" bestFit="1" customWidth="1"/>
    <col min="3852" max="3852" width="19" style="1" bestFit="1" customWidth="1"/>
    <col min="3853" max="3855" width="0" style="1" hidden="1" bestFit="1" customWidth="1"/>
    <col min="3856" max="4096" width="9.109375" style="1"/>
    <col min="4097" max="4097" width="53" style="1" bestFit="1" customWidth="1"/>
    <col min="4098" max="4099" width="21" style="1" bestFit="1" customWidth="1"/>
    <col min="4100" max="4100" width="10" style="1" bestFit="1" customWidth="1"/>
    <col min="4101" max="4101" width="21" style="1" bestFit="1" customWidth="1"/>
    <col min="4102" max="4102" width="22" style="1" bestFit="1" customWidth="1"/>
    <col min="4103" max="4103" width="19" style="1" bestFit="1" customWidth="1"/>
    <col min="4104" max="4104" width="31" style="1" bestFit="1" customWidth="1"/>
    <col min="4105" max="4106" width="9" style="1" bestFit="1" customWidth="1"/>
    <col min="4107" max="4107" width="20" style="1" bestFit="1" customWidth="1"/>
    <col min="4108" max="4108" width="19" style="1" bestFit="1" customWidth="1"/>
    <col min="4109" max="4111" width="0" style="1" hidden="1" bestFit="1" customWidth="1"/>
    <col min="4112" max="4352" width="9.109375" style="1"/>
    <col min="4353" max="4353" width="53" style="1" bestFit="1" customWidth="1"/>
    <col min="4354" max="4355" width="21" style="1" bestFit="1" customWidth="1"/>
    <col min="4356" max="4356" width="10" style="1" bestFit="1" customWidth="1"/>
    <col min="4357" max="4357" width="21" style="1" bestFit="1" customWidth="1"/>
    <col min="4358" max="4358" width="22" style="1" bestFit="1" customWidth="1"/>
    <col min="4359" max="4359" width="19" style="1" bestFit="1" customWidth="1"/>
    <col min="4360" max="4360" width="31" style="1" bestFit="1" customWidth="1"/>
    <col min="4361" max="4362" width="9" style="1" bestFit="1" customWidth="1"/>
    <col min="4363" max="4363" width="20" style="1" bestFit="1" customWidth="1"/>
    <col min="4364" max="4364" width="19" style="1" bestFit="1" customWidth="1"/>
    <col min="4365" max="4367" width="0" style="1" hidden="1" bestFit="1" customWidth="1"/>
    <col min="4368" max="4608" width="9.109375" style="1"/>
    <col min="4609" max="4609" width="53" style="1" bestFit="1" customWidth="1"/>
    <col min="4610" max="4611" width="21" style="1" bestFit="1" customWidth="1"/>
    <col min="4612" max="4612" width="10" style="1" bestFit="1" customWidth="1"/>
    <col min="4613" max="4613" width="21" style="1" bestFit="1" customWidth="1"/>
    <col min="4614" max="4614" width="22" style="1" bestFit="1" customWidth="1"/>
    <col min="4615" max="4615" width="19" style="1" bestFit="1" customWidth="1"/>
    <col min="4616" max="4616" width="31" style="1" bestFit="1" customWidth="1"/>
    <col min="4617" max="4618" width="9" style="1" bestFit="1" customWidth="1"/>
    <col min="4619" max="4619" width="20" style="1" bestFit="1" customWidth="1"/>
    <col min="4620" max="4620" width="19" style="1" bestFit="1" customWidth="1"/>
    <col min="4621" max="4623" width="0" style="1" hidden="1" bestFit="1" customWidth="1"/>
    <col min="4624" max="4864" width="9.109375" style="1"/>
    <col min="4865" max="4865" width="53" style="1" bestFit="1" customWidth="1"/>
    <col min="4866" max="4867" width="21" style="1" bestFit="1" customWidth="1"/>
    <col min="4868" max="4868" width="10" style="1" bestFit="1" customWidth="1"/>
    <col min="4869" max="4869" width="21" style="1" bestFit="1" customWidth="1"/>
    <col min="4870" max="4870" width="22" style="1" bestFit="1" customWidth="1"/>
    <col min="4871" max="4871" width="19" style="1" bestFit="1" customWidth="1"/>
    <col min="4872" max="4872" width="31" style="1" bestFit="1" customWidth="1"/>
    <col min="4873" max="4874" width="9" style="1" bestFit="1" customWidth="1"/>
    <col min="4875" max="4875" width="20" style="1" bestFit="1" customWidth="1"/>
    <col min="4876" max="4876" width="19" style="1" bestFit="1" customWidth="1"/>
    <col min="4877" max="4879" width="0" style="1" hidden="1" bestFit="1" customWidth="1"/>
    <col min="4880" max="5120" width="9.109375" style="1"/>
    <col min="5121" max="5121" width="53" style="1" bestFit="1" customWidth="1"/>
    <col min="5122" max="5123" width="21" style="1" bestFit="1" customWidth="1"/>
    <col min="5124" max="5124" width="10" style="1" bestFit="1" customWidth="1"/>
    <col min="5125" max="5125" width="21" style="1" bestFit="1" customWidth="1"/>
    <col min="5126" max="5126" width="22" style="1" bestFit="1" customWidth="1"/>
    <col min="5127" max="5127" width="19" style="1" bestFit="1" customWidth="1"/>
    <col min="5128" max="5128" width="31" style="1" bestFit="1" customWidth="1"/>
    <col min="5129" max="5130" width="9" style="1" bestFit="1" customWidth="1"/>
    <col min="5131" max="5131" width="20" style="1" bestFit="1" customWidth="1"/>
    <col min="5132" max="5132" width="19" style="1" bestFit="1" customWidth="1"/>
    <col min="5133" max="5135" width="0" style="1" hidden="1" bestFit="1" customWidth="1"/>
    <col min="5136" max="5376" width="9.109375" style="1"/>
    <col min="5377" max="5377" width="53" style="1" bestFit="1" customWidth="1"/>
    <col min="5378" max="5379" width="21" style="1" bestFit="1" customWidth="1"/>
    <col min="5380" max="5380" width="10" style="1" bestFit="1" customWidth="1"/>
    <col min="5381" max="5381" width="21" style="1" bestFit="1" customWidth="1"/>
    <col min="5382" max="5382" width="22" style="1" bestFit="1" customWidth="1"/>
    <col min="5383" max="5383" width="19" style="1" bestFit="1" customWidth="1"/>
    <col min="5384" max="5384" width="31" style="1" bestFit="1" customWidth="1"/>
    <col min="5385" max="5386" width="9" style="1" bestFit="1" customWidth="1"/>
    <col min="5387" max="5387" width="20" style="1" bestFit="1" customWidth="1"/>
    <col min="5388" max="5388" width="19" style="1" bestFit="1" customWidth="1"/>
    <col min="5389" max="5391" width="0" style="1" hidden="1" bestFit="1" customWidth="1"/>
    <col min="5392" max="5632" width="9.109375" style="1"/>
    <col min="5633" max="5633" width="53" style="1" bestFit="1" customWidth="1"/>
    <col min="5634" max="5635" width="21" style="1" bestFit="1" customWidth="1"/>
    <col min="5636" max="5636" width="10" style="1" bestFit="1" customWidth="1"/>
    <col min="5637" max="5637" width="21" style="1" bestFit="1" customWidth="1"/>
    <col min="5638" max="5638" width="22" style="1" bestFit="1" customWidth="1"/>
    <col min="5639" max="5639" width="19" style="1" bestFit="1" customWidth="1"/>
    <col min="5640" max="5640" width="31" style="1" bestFit="1" customWidth="1"/>
    <col min="5641" max="5642" width="9" style="1" bestFit="1" customWidth="1"/>
    <col min="5643" max="5643" width="20" style="1" bestFit="1" customWidth="1"/>
    <col min="5644" max="5644" width="19" style="1" bestFit="1" customWidth="1"/>
    <col min="5645" max="5647" width="0" style="1" hidden="1" bestFit="1" customWidth="1"/>
    <col min="5648" max="5888" width="9.109375" style="1"/>
    <col min="5889" max="5889" width="53" style="1" bestFit="1" customWidth="1"/>
    <col min="5890" max="5891" width="21" style="1" bestFit="1" customWidth="1"/>
    <col min="5892" max="5892" width="10" style="1" bestFit="1" customWidth="1"/>
    <col min="5893" max="5893" width="21" style="1" bestFit="1" customWidth="1"/>
    <col min="5894" max="5894" width="22" style="1" bestFit="1" customWidth="1"/>
    <col min="5895" max="5895" width="19" style="1" bestFit="1" customWidth="1"/>
    <col min="5896" max="5896" width="31" style="1" bestFit="1" customWidth="1"/>
    <col min="5897" max="5898" width="9" style="1" bestFit="1" customWidth="1"/>
    <col min="5899" max="5899" width="20" style="1" bestFit="1" customWidth="1"/>
    <col min="5900" max="5900" width="19" style="1" bestFit="1" customWidth="1"/>
    <col min="5901" max="5903" width="0" style="1" hidden="1" bestFit="1" customWidth="1"/>
    <col min="5904" max="6144" width="9.109375" style="1"/>
    <col min="6145" max="6145" width="53" style="1" bestFit="1" customWidth="1"/>
    <col min="6146" max="6147" width="21" style="1" bestFit="1" customWidth="1"/>
    <col min="6148" max="6148" width="10" style="1" bestFit="1" customWidth="1"/>
    <col min="6149" max="6149" width="21" style="1" bestFit="1" customWidth="1"/>
    <col min="6150" max="6150" width="22" style="1" bestFit="1" customWidth="1"/>
    <col min="6151" max="6151" width="19" style="1" bestFit="1" customWidth="1"/>
    <col min="6152" max="6152" width="31" style="1" bestFit="1" customWidth="1"/>
    <col min="6153" max="6154" width="9" style="1" bestFit="1" customWidth="1"/>
    <col min="6155" max="6155" width="20" style="1" bestFit="1" customWidth="1"/>
    <col min="6156" max="6156" width="19" style="1" bestFit="1" customWidth="1"/>
    <col min="6157" max="6159" width="0" style="1" hidden="1" bestFit="1" customWidth="1"/>
    <col min="6160" max="6400" width="9.109375" style="1"/>
    <col min="6401" max="6401" width="53" style="1" bestFit="1" customWidth="1"/>
    <col min="6402" max="6403" width="21" style="1" bestFit="1" customWidth="1"/>
    <col min="6404" max="6404" width="10" style="1" bestFit="1" customWidth="1"/>
    <col min="6405" max="6405" width="21" style="1" bestFit="1" customWidth="1"/>
    <col min="6406" max="6406" width="22" style="1" bestFit="1" customWidth="1"/>
    <col min="6407" max="6407" width="19" style="1" bestFit="1" customWidth="1"/>
    <col min="6408" max="6408" width="31" style="1" bestFit="1" customWidth="1"/>
    <col min="6409" max="6410" width="9" style="1" bestFit="1" customWidth="1"/>
    <col min="6411" max="6411" width="20" style="1" bestFit="1" customWidth="1"/>
    <col min="6412" max="6412" width="19" style="1" bestFit="1" customWidth="1"/>
    <col min="6413" max="6415" width="0" style="1" hidden="1" bestFit="1" customWidth="1"/>
    <col min="6416" max="6656" width="9.109375" style="1"/>
    <col min="6657" max="6657" width="53" style="1" bestFit="1" customWidth="1"/>
    <col min="6658" max="6659" width="21" style="1" bestFit="1" customWidth="1"/>
    <col min="6660" max="6660" width="10" style="1" bestFit="1" customWidth="1"/>
    <col min="6661" max="6661" width="21" style="1" bestFit="1" customWidth="1"/>
    <col min="6662" max="6662" width="22" style="1" bestFit="1" customWidth="1"/>
    <col min="6663" max="6663" width="19" style="1" bestFit="1" customWidth="1"/>
    <col min="6664" max="6664" width="31" style="1" bestFit="1" customWidth="1"/>
    <col min="6665" max="6666" width="9" style="1" bestFit="1" customWidth="1"/>
    <col min="6667" max="6667" width="20" style="1" bestFit="1" customWidth="1"/>
    <col min="6668" max="6668" width="19" style="1" bestFit="1" customWidth="1"/>
    <col min="6669" max="6671" width="0" style="1" hidden="1" bestFit="1" customWidth="1"/>
    <col min="6672" max="6912" width="9.109375" style="1"/>
    <col min="6913" max="6913" width="53" style="1" bestFit="1" customWidth="1"/>
    <col min="6914" max="6915" width="21" style="1" bestFit="1" customWidth="1"/>
    <col min="6916" max="6916" width="10" style="1" bestFit="1" customWidth="1"/>
    <col min="6917" max="6917" width="21" style="1" bestFit="1" customWidth="1"/>
    <col min="6918" max="6918" width="22" style="1" bestFit="1" customWidth="1"/>
    <col min="6919" max="6919" width="19" style="1" bestFit="1" customWidth="1"/>
    <col min="6920" max="6920" width="31" style="1" bestFit="1" customWidth="1"/>
    <col min="6921" max="6922" width="9" style="1" bestFit="1" customWidth="1"/>
    <col min="6923" max="6923" width="20" style="1" bestFit="1" customWidth="1"/>
    <col min="6924" max="6924" width="19" style="1" bestFit="1" customWidth="1"/>
    <col min="6925" max="6927" width="0" style="1" hidden="1" bestFit="1" customWidth="1"/>
    <col min="6928" max="7168" width="9.109375" style="1"/>
    <col min="7169" max="7169" width="53" style="1" bestFit="1" customWidth="1"/>
    <col min="7170" max="7171" width="21" style="1" bestFit="1" customWidth="1"/>
    <col min="7172" max="7172" width="10" style="1" bestFit="1" customWidth="1"/>
    <col min="7173" max="7173" width="21" style="1" bestFit="1" customWidth="1"/>
    <col min="7174" max="7174" width="22" style="1" bestFit="1" customWidth="1"/>
    <col min="7175" max="7175" width="19" style="1" bestFit="1" customWidth="1"/>
    <col min="7176" max="7176" width="31" style="1" bestFit="1" customWidth="1"/>
    <col min="7177" max="7178" width="9" style="1" bestFit="1" customWidth="1"/>
    <col min="7179" max="7179" width="20" style="1" bestFit="1" customWidth="1"/>
    <col min="7180" max="7180" width="19" style="1" bestFit="1" customWidth="1"/>
    <col min="7181" max="7183" width="0" style="1" hidden="1" bestFit="1" customWidth="1"/>
    <col min="7184" max="7424" width="9.109375" style="1"/>
    <col min="7425" max="7425" width="53" style="1" bestFit="1" customWidth="1"/>
    <col min="7426" max="7427" width="21" style="1" bestFit="1" customWidth="1"/>
    <col min="7428" max="7428" width="10" style="1" bestFit="1" customWidth="1"/>
    <col min="7429" max="7429" width="21" style="1" bestFit="1" customWidth="1"/>
    <col min="7430" max="7430" width="22" style="1" bestFit="1" customWidth="1"/>
    <col min="7431" max="7431" width="19" style="1" bestFit="1" customWidth="1"/>
    <col min="7432" max="7432" width="31" style="1" bestFit="1" customWidth="1"/>
    <col min="7433" max="7434" width="9" style="1" bestFit="1" customWidth="1"/>
    <col min="7435" max="7435" width="20" style="1" bestFit="1" customWidth="1"/>
    <col min="7436" max="7436" width="19" style="1" bestFit="1" customWidth="1"/>
    <col min="7437" max="7439" width="0" style="1" hidden="1" bestFit="1" customWidth="1"/>
    <col min="7440" max="7680" width="9.109375" style="1"/>
    <col min="7681" max="7681" width="53" style="1" bestFit="1" customWidth="1"/>
    <col min="7682" max="7683" width="21" style="1" bestFit="1" customWidth="1"/>
    <col min="7684" max="7684" width="10" style="1" bestFit="1" customWidth="1"/>
    <col min="7685" max="7685" width="21" style="1" bestFit="1" customWidth="1"/>
    <col min="7686" max="7686" width="22" style="1" bestFit="1" customWidth="1"/>
    <col min="7687" max="7687" width="19" style="1" bestFit="1" customWidth="1"/>
    <col min="7688" max="7688" width="31" style="1" bestFit="1" customWidth="1"/>
    <col min="7689" max="7690" width="9" style="1" bestFit="1" customWidth="1"/>
    <col min="7691" max="7691" width="20" style="1" bestFit="1" customWidth="1"/>
    <col min="7692" max="7692" width="19" style="1" bestFit="1" customWidth="1"/>
    <col min="7693" max="7695" width="0" style="1" hidden="1" bestFit="1" customWidth="1"/>
    <col min="7696" max="7936" width="9.109375" style="1"/>
    <col min="7937" max="7937" width="53" style="1" bestFit="1" customWidth="1"/>
    <col min="7938" max="7939" width="21" style="1" bestFit="1" customWidth="1"/>
    <col min="7940" max="7940" width="10" style="1" bestFit="1" customWidth="1"/>
    <col min="7941" max="7941" width="21" style="1" bestFit="1" customWidth="1"/>
    <col min="7942" max="7942" width="22" style="1" bestFit="1" customWidth="1"/>
    <col min="7943" max="7943" width="19" style="1" bestFit="1" customWidth="1"/>
    <col min="7944" max="7944" width="31" style="1" bestFit="1" customWidth="1"/>
    <col min="7945" max="7946" width="9" style="1" bestFit="1" customWidth="1"/>
    <col min="7947" max="7947" width="20" style="1" bestFit="1" customWidth="1"/>
    <col min="7948" max="7948" width="19" style="1" bestFit="1" customWidth="1"/>
    <col min="7949" max="7951" width="0" style="1" hidden="1" bestFit="1" customWidth="1"/>
    <col min="7952" max="8192" width="9.109375" style="1"/>
    <col min="8193" max="8193" width="53" style="1" bestFit="1" customWidth="1"/>
    <col min="8194" max="8195" width="21" style="1" bestFit="1" customWidth="1"/>
    <col min="8196" max="8196" width="10" style="1" bestFit="1" customWidth="1"/>
    <col min="8197" max="8197" width="21" style="1" bestFit="1" customWidth="1"/>
    <col min="8198" max="8198" width="22" style="1" bestFit="1" customWidth="1"/>
    <col min="8199" max="8199" width="19" style="1" bestFit="1" customWidth="1"/>
    <col min="8200" max="8200" width="31" style="1" bestFit="1" customWidth="1"/>
    <col min="8201" max="8202" width="9" style="1" bestFit="1" customWidth="1"/>
    <col min="8203" max="8203" width="20" style="1" bestFit="1" customWidth="1"/>
    <col min="8204" max="8204" width="19" style="1" bestFit="1" customWidth="1"/>
    <col min="8205" max="8207" width="0" style="1" hidden="1" bestFit="1" customWidth="1"/>
    <col min="8208" max="8448" width="9.109375" style="1"/>
    <col min="8449" max="8449" width="53" style="1" bestFit="1" customWidth="1"/>
    <col min="8450" max="8451" width="21" style="1" bestFit="1" customWidth="1"/>
    <col min="8452" max="8452" width="10" style="1" bestFit="1" customWidth="1"/>
    <col min="8453" max="8453" width="21" style="1" bestFit="1" customWidth="1"/>
    <col min="8454" max="8454" width="22" style="1" bestFit="1" customWidth="1"/>
    <col min="8455" max="8455" width="19" style="1" bestFit="1" customWidth="1"/>
    <col min="8456" max="8456" width="31" style="1" bestFit="1" customWidth="1"/>
    <col min="8457" max="8458" width="9" style="1" bestFit="1" customWidth="1"/>
    <col min="8459" max="8459" width="20" style="1" bestFit="1" customWidth="1"/>
    <col min="8460" max="8460" width="19" style="1" bestFit="1" customWidth="1"/>
    <col min="8461" max="8463" width="0" style="1" hidden="1" bestFit="1" customWidth="1"/>
    <col min="8464" max="8704" width="9.109375" style="1"/>
    <col min="8705" max="8705" width="53" style="1" bestFit="1" customWidth="1"/>
    <col min="8706" max="8707" width="21" style="1" bestFit="1" customWidth="1"/>
    <col min="8708" max="8708" width="10" style="1" bestFit="1" customWidth="1"/>
    <col min="8709" max="8709" width="21" style="1" bestFit="1" customWidth="1"/>
    <col min="8710" max="8710" width="22" style="1" bestFit="1" customWidth="1"/>
    <col min="8711" max="8711" width="19" style="1" bestFit="1" customWidth="1"/>
    <col min="8712" max="8712" width="31" style="1" bestFit="1" customWidth="1"/>
    <col min="8713" max="8714" width="9" style="1" bestFit="1" customWidth="1"/>
    <col min="8715" max="8715" width="20" style="1" bestFit="1" customWidth="1"/>
    <col min="8716" max="8716" width="19" style="1" bestFit="1" customWidth="1"/>
    <col min="8717" max="8719" width="0" style="1" hidden="1" bestFit="1" customWidth="1"/>
    <col min="8720" max="8960" width="9.109375" style="1"/>
    <col min="8961" max="8961" width="53" style="1" bestFit="1" customWidth="1"/>
    <col min="8962" max="8963" width="21" style="1" bestFit="1" customWidth="1"/>
    <col min="8964" max="8964" width="10" style="1" bestFit="1" customWidth="1"/>
    <col min="8965" max="8965" width="21" style="1" bestFit="1" customWidth="1"/>
    <col min="8966" max="8966" width="22" style="1" bestFit="1" customWidth="1"/>
    <col min="8967" max="8967" width="19" style="1" bestFit="1" customWidth="1"/>
    <col min="8968" max="8968" width="31" style="1" bestFit="1" customWidth="1"/>
    <col min="8969" max="8970" width="9" style="1" bestFit="1" customWidth="1"/>
    <col min="8971" max="8971" width="20" style="1" bestFit="1" customWidth="1"/>
    <col min="8972" max="8972" width="19" style="1" bestFit="1" customWidth="1"/>
    <col min="8973" max="8975" width="0" style="1" hidden="1" bestFit="1" customWidth="1"/>
    <col min="8976" max="9216" width="9.109375" style="1"/>
    <col min="9217" max="9217" width="53" style="1" bestFit="1" customWidth="1"/>
    <col min="9218" max="9219" width="21" style="1" bestFit="1" customWidth="1"/>
    <col min="9220" max="9220" width="10" style="1" bestFit="1" customWidth="1"/>
    <col min="9221" max="9221" width="21" style="1" bestFit="1" customWidth="1"/>
    <col min="9222" max="9222" width="22" style="1" bestFit="1" customWidth="1"/>
    <col min="9223" max="9223" width="19" style="1" bestFit="1" customWidth="1"/>
    <col min="9224" max="9224" width="31" style="1" bestFit="1" customWidth="1"/>
    <col min="9225" max="9226" width="9" style="1" bestFit="1" customWidth="1"/>
    <col min="9227" max="9227" width="20" style="1" bestFit="1" customWidth="1"/>
    <col min="9228" max="9228" width="19" style="1" bestFit="1" customWidth="1"/>
    <col min="9229" max="9231" width="0" style="1" hidden="1" bestFit="1" customWidth="1"/>
    <col min="9232" max="9472" width="9.109375" style="1"/>
    <col min="9473" max="9473" width="53" style="1" bestFit="1" customWidth="1"/>
    <col min="9474" max="9475" width="21" style="1" bestFit="1" customWidth="1"/>
    <col min="9476" max="9476" width="10" style="1" bestFit="1" customWidth="1"/>
    <col min="9477" max="9477" width="21" style="1" bestFit="1" customWidth="1"/>
    <col min="9478" max="9478" width="22" style="1" bestFit="1" customWidth="1"/>
    <col min="9479" max="9479" width="19" style="1" bestFit="1" customWidth="1"/>
    <col min="9480" max="9480" width="31" style="1" bestFit="1" customWidth="1"/>
    <col min="9481" max="9482" width="9" style="1" bestFit="1" customWidth="1"/>
    <col min="9483" max="9483" width="20" style="1" bestFit="1" customWidth="1"/>
    <col min="9484" max="9484" width="19" style="1" bestFit="1" customWidth="1"/>
    <col min="9485" max="9487" width="0" style="1" hidden="1" bestFit="1" customWidth="1"/>
    <col min="9488" max="9728" width="9.109375" style="1"/>
    <col min="9729" max="9729" width="53" style="1" bestFit="1" customWidth="1"/>
    <col min="9730" max="9731" width="21" style="1" bestFit="1" customWidth="1"/>
    <col min="9732" max="9732" width="10" style="1" bestFit="1" customWidth="1"/>
    <col min="9733" max="9733" width="21" style="1" bestFit="1" customWidth="1"/>
    <col min="9734" max="9734" width="22" style="1" bestFit="1" customWidth="1"/>
    <col min="9735" max="9735" width="19" style="1" bestFit="1" customWidth="1"/>
    <col min="9736" max="9736" width="31" style="1" bestFit="1" customWidth="1"/>
    <col min="9737" max="9738" width="9" style="1" bestFit="1" customWidth="1"/>
    <col min="9739" max="9739" width="20" style="1" bestFit="1" customWidth="1"/>
    <col min="9740" max="9740" width="19" style="1" bestFit="1" customWidth="1"/>
    <col min="9741" max="9743" width="0" style="1" hidden="1" bestFit="1" customWidth="1"/>
    <col min="9744" max="9984" width="9.109375" style="1"/>
    <col min="9985" max="9985" width="53" style="1" bestFit="1" customWidth="1"/>
    <col min="9986" max="9987" width="21" style="1" bestFit="1" customWidth="1"/>
    <col min="9988" max="9988" width="10" style="1" bestFit="1" customWidth="1"/>
    <col min="9989" max="9989" width="21" style="1" bestFit="1" customWidth="1"/>
    <col min="9990" max="9990" width="22" style="1" bestFit="1" customWidth="1"/>
    <col min="9991" max="9991" width="19" style="1" bestFit="1" customWidth="1"/>
    <col min="9992" max="9992" width="31" style="1" bestFit="1" customWidth="1"/>
    <col min="9993" max="9994" width="9" style="1" bestFit="1" customWidth="1"/>
    <col min="9995" max="9995" width="20" style="1" bestFit="1" customWidth="1"/>
    <col min="9996" max="9996" width="19" style="1" bestFit="1" customWidth="1"/>
    <col min="9997" max="9999" width="0" style="1" hidden="1" bestFit="1" customWidth="1"/>
    <col min="10000" max="10240" width="9.109375" style="1"/>
    <col min="10241" max="10241" width="53" style="1" bestFit="1" customWidth="1"/>
    <col min="10242" max="10243" width="21" style="1" bestFit="1" customWidth="1"/>
    <col min="10244" max="10244" width="10" style="1" bestFit="1" customWidth="1"/>
    <col min="10245" max="10245" width="21" style="1" bestFit="1" customWidth="1"/>
    <col min="10246" max="10246" width="22" style="1" bestFit="1" customWidth="1"/>
    <col min="10247" max="10247" width="19" style="1" bestFit="1" customWidth="1"/>
    <col min="10248" max="10248" width="31" style="1" bestFit="1" customWidth="1"/>
    <col min="10249" max="10250" width="9" style="1" bestFit="1" customWidth="1"/>
    <col min="10251" max="10251" width="20" style="1" bestFit="1" customWidth="1"/>
    <col min="10252" max="10252" width="19" style="1" bestFit="1" customWidth="1"/>
    <col min="10253" max="10255" width="0" style="1" hidden="1" bestFit="1" customWidth="1"/>
    <col min="10256" max="10496" width="9.109375" style="1"/>
    <col min="10497" max="10497" width="53" style="1" bestFit="1" customWidth="1"/>
    <col min="10498" max="10499" width="21" style="1" bestFit="1" customWidth="1"/>
    <col min="10500" max="10500" width="10" style="1" bestFit="1" customWidth="1"/>
    <col min="10501" max="10501" width="21" style="1" bestFit="1" customWidth="1"/>
    <col min="10502" max="10502" width="22" style="1" bestFit="1" customWidth="1"/>
    <col min="10503" max="10503" width="19" style="1" bestFit="1" customWidth="1"/>
    <col min="10504" max="10504" width="31" style="1" bestFit="1" customWidth="1"/>
    <col min="10505" max="10506" width="9" style="1" bestFit="1" customWidth="1"/>
    <col min="10507" max="10507" width="20" style="1" bestFit="1" customWidth="1"/>
    <col min="10508" max="10508" width="19" style="1" bestFit="1" customWidth="1"/>
    <col min="10509" max="10511" width="0" style="1" hidden="1" bestFit="1" customWidth="1"/>
    <col min="10512" max="10752" width="9.109375" style="1"/>
    <col min="10753" max="10753" width="53" style="1" bestFit="1" customWidth="1"/>
    <col min="10754" max="10755" width="21" style="1" bestFit="1" customWidth="1"/>
    <col min="10756" max="10756" width="10" style="1" bestFit="1" customWidth="1"/>
    <col min="10757" max="10757" width="21" style="1" bestFit="1" customWidth="1"/>
    <col min="10758" max="10758" width="22" style="1" bestFit="1" customWidth="1"/>
    <col min="10759" max="10759" width="19" style="1" bestFit="1" customWidth="1"/>
    <col min="10760" max="10760" width="31" style="1" bestFit="1" customWidth="1"/>
    <col min="10761" max="10762" width="9" style="1" bestFit="1" customWidth="1"/>
    <col min="10763" max="10763" width="20" style="1" bestFit="1" customWidth="1"/>
    <col min="10764" max="10764" width="19" style="1" bestFit="1" customWidth="1"/>
    <col min="10765" max="10767" width="0" style="1" hidden="1" bestFit="1" customWidth="1"/>
    <col min="10768" max="11008" width="9.109375" style="1"/>
    <col min="11009" max="11009" width="53" style="1" bestFit="1" customWidth="1"/>
    <col min="11010" max="11011" width="21" style="1" bestFit="1" customWidth="1"/>
    <col min="11012" max="11012" width="10" style="1" bestFit="1" customWidth="1"/>
    <col min="11013" max="11013" width="21" style="1" bestFit="1" customWidth="1"/>
    <col min="11014" max="11014" width="22" style="1" bestFit="1" customWidth="1"/>
    <col min="11015" max="11015" width="19" style="1" bestFit="1" customWidth="1"/>
    <col min="11016" max="11016" width="31" style="1" bestFit="1" customWidth="1"/>
    <col min="11017" max="11018" width="9" style="1" bestFit="1" customWidth="1"/>
    <col min="11019" max="11019" width="20" style="1" bestFit="1" customWidth="1"/>
    <col min="11020" max="11020" width="19" style="1" bestFit="1" customWidth="1"/>
    <col min="11021" max="11023" width="0" style="1" hidden="1" bestFit="1" customWidth="1"/>
    <col min="11024" max="11264" width="9.109375" style="1"/>
    <col min="11265" max="11265" width="53" style="1" bestFit="1" customWidth="1"/>
    <col min="11266" max="11267" width="21" style="1" bestFit="1" customWidth="1"/>
    <col min="11268" max="11268" width="10" style="1" bestFit="1" customWidth="1"/>
    <col min="11269" max="11269" width="21" style="1" bestFit="1" customWidth="1"/>
    <col min="11270" max="11270" width="22" style="1" bestFit="1" customWidth="1"/>
    <col min="11271" max="11271" width="19" style="1" bestFit="1" customWidth="1"/>
    <col min="11272" max="11272" width="31" style="1" bestFit="1" customWidth="1"/>
    <col min="11273" max="11274" width="9" style="1" bestFit="1" customWidth="1"/>
    <col min="11275" max="11275" width="20" style="1" bestFit="1" customWidth="1"/>
    <col min="11276" max="11276" width="19" style="1" bestFit="1" customWidth="1"/>
    <col min="11277" max="11279" width="0" style="1" hidden="1" bestFit="1" customWidth="1"/>
    <col min="11280" max="11520" width="9.109375" style="1"/>
    <col min="11521" max="11521" width="53" style="1" bestFit="1" customWidth="1"/>
    <col min="11522" max="11523" width="21" style="1" bestFit="1" customWidth="1"/>
    <col min="11524" max="11524" width="10" style="1" bestFit="1" customWidth="1"/>
    <col min="11525" max="11525" width="21" style="1" bestFit="1" customWidth="1"/>
    <col min="11526" max="11526" width="22" style="1" bestFit="1" customWidth="1"/>
    <col min="11527" max="11527" width="19" style="1" bestFit="1" customWidth="1"/>
    <col min="11528" max="11528" width="31" style="1" bestFit="1" customWidth="1"/>
    <col min="11529" max="11530" width="9" style="1" bestFit="1" customWidth="1"/>
    <col min="11531" max="11531" width="20" style="1" bestFit="1" customWidth="1"/>
    <col min="11532" max="11532" width="19" style="1" bestFit="1" customWidth="1"/>
    <col min="11533" max="11535" width="0" style="1" hidden="1" bestFit="1" customWidth="1"/>
    <col min="11536" max="11776" width="9.109375" style="1"/>
    <col min="11777" max="11777" width="53" style="1" bestFit="1" customWidth="1"/>
    <col min="11778" max="11779" width="21" style="1" bestFit="1" customWidth="1"/>
    <col min="11780" max="11780" width="10" style="1" bestFit="1" customWidth="1"/>
    <col min="11781" max="11781" width="21" style="1" bestFit="1" customWidth="1"/>
    <col min="11782" max="11782" width="22" style="1" bestFit="1" customWidth="1"/>
    <col min="11783" max="11783" width="19" style="1" bestFit="1" customWidth="1"/>
    <col min="11784" max="11784" width="31" style="1" bestFit="1" customWidth="1"/>
    <col min="11785" max="11786" width="9" style="1" bestFit="1" customWidth="1"/>
    <col min="11787" max="11787" width="20" style="1" bestFit="1" customWidth="1"/>
    <col min="11788" max="11788" width="19" style="1" bestFit="1" customWidth="1"/>
    <col min="11789" max="11791" width="0" style="1" hidden="1" bestFit="1" customWidth="1"/>
    <col min="11792" max="12032" width="9.109375" style="1"/>
    <col min="12033" max="12033" width="53" style="1" bestFit="1" customWidth="1"/>
    <col min="12034" max="12035" width="21" style="1" bestFit="1" customWidth="1"/>
    <col min="12036" max="12036" width="10" style="1" bestFit="1" customWidth="1"/>
    <col min="12037" max="12037" width="21" style="1" bestFit="1" customWidth="1"/>
    <col min="12038" max="12038" width="22" style="1" bestFit="1" customWidth="1"/>
    <col min="12039" max="12039" width="19" style="1" bestFit="1" customWidth="1"/>
    <col min="12040" max="12040" width="31" style="1" bestFit="1" customWidth="1"/>
    <col min="12041" max="12042" width="9" style="1" bestFit="1" customWidth="1"/>
    <col min="12043" max="12043" width="20" style="1" bestFit="1" customWidth="1"/>
    <col min="12044" max="12044" width="19" style="1" bestFit="1" customWidth="1"/>
    <col min="12045" max="12047" width="0" style="1" hidden="1" bestFit="1" customWidth="1"/>
    <col min="12048" max="12288" width="9.109375" style="1"/>
    <col min="12289" max="12289" width="53" style="1" bestFit="1" customWidth="1"/>
    <col min="12290" max="12291" width="21" style="1" bestFit="1" customWidth="1"/>
    <col min="12292" max="12292" width="10" style="1" bestFit="1" customWidth="1"/>
    <col min="12293" max="12293" width="21" style="1" bestFit="1" customWidth="1"/>
    <col min="12294" max="12294" width="22" style="1" bestFit="1" customWidth="1"/>
    <col min="12295" max="12295" width="19" style="1" bestFit="1" customWidth="1"/>
    <col min="12296" max="12296" width="31" style="1" bestFit="1" customWidth="1"/>
    <col min="12297" max="12298" width="9" style="1" bestFit="1" customWidth="1"/>
    <col min="12299" max="12299" width="20" style="1" bestFit="1" customWidth="1"/>
    <col min="12300" max="12300" width="19" style="1" bestFit="1" customWidth="1"/>
    <col min="12301" max="12303" width="0" style="1" hidden="1" bestFit="1" customWidth="1"/>
    <col min="12304" max="12544" width="9.109375" style="1"/>
    <col min="12545" max="12545" width="53" style="1" bestFit="1" customWidth="1"/>
    <col min="12546" max="12547" width="21" style="1" bestFit="1" customWidth="1"/>
    <col min="12548" max="12548" width="10" style="1" bestFit="1" customWidth="1"/>
    <col min="12549" max="12549" width="21" style="1" bestFit="1" customWidth="1"/>
    <col min="12550" max="12550" width="22" style="1" bestFit="1" customWidth="1"/>
    <col min="12551" max="12551" width="19" style="1" bestFit="1" customWidth="1"/>
    <col min="12552" max="12552" width="31" style="1" bestFit="1" customWidth="1"/>
    <col min="12553" max="12554" width="9" style="1" bestFit="1" customWidth="1"/>
    <col min="12555" max="12555" width="20" style="1" bestFit="1" customWidth="1"/>
    <col min="12556" max="12556" width="19" style="1" bestFit="1" customWidth="1"/>
    <col min="12557" max="12559" width="0" style="1" hidden="1" bestFit="1" customWidth="1"/>
    <col min="12560" max="12800" width="9.109375" style="1"/>
    <col min="12801" max="12801" width="53" style="1" bestFit="1" customWidth="1"/>
    <col min="12802" max="12803" width="21" style="1" bestFit="1" customWidth="1"/>
    <col min="12804" max="12804" width="10" style="1" bestFit="1" customWidth="1"/>
    <col min="12805" max="12805" width="21" style="1" bestFit="1" customWidth="1"/>
    <col min="12806" max="12806" width="22" style="1" bestFit="1" customWidth="1"/>
    <col min="12807" max="12807" width="19" style="1" bestFit="1" customWidth="1"/>
    <col min="12808" max="12808" width="31" style="1" bestFit="1" customWidth="1"/>
    <col min="12809" max="12810" width="9" style="1" bestFit="1" customWidth="1"/>
    <col min="12811" max="12811" width="20" style="1" bestFit="1" customWidth="1"/>
    <col min="12812" max="12812" width="19" style="1" bestFit="1" customWidth="1"/>
    <col min="12813" max="12815" width="0" style="1" hidden="1" bestFit="1" customWidth="1"/>
    <col min="12816" max="13056" width="9.109375" style="1"/>
    <col min="13057" max="13057" width="53" style="1" bestFit="1" customWidth="1"/>
    <col min="13058" max="13059" width="21" style="1" bestFit="1" customWidth="1"/>
    <col min="13060" max="13060" width="10" style="1" bestFit="1" customWidth="1"/>
    <col min="13061" max="13061" width="21" style="1" bestFit="1" customWidth="1"/>
    <col min="13062" max="13062" width="22" style="1" bestFit="1" customWidth="1"/>
    <col min="13063" max="13063" width="19" style="1" bestFit="1" customWidth="1"/>
    <col min="13064" max="13064" width="31" style="1" bestFit="1" customWidth="1"/>
    <col min="13065" max="13066" width="9" style="1" bestFit="1" customWidth="1"/>
    <col min="13067" max="13067" width="20" style="1" bestFit="1" customWidth="1"/>
    <col min="13068" max="13068" width="19" style="1" bestFit="1" customWidth="1"/>
    <col min="13069" max="13071" width="0" style="1" hidden="1" bestFit="1" customWidth="1"/>
    <col min="13072" max="13312" width="9.109375" style="1"/>
    <col min="13313" max="13313" width="53" style="1" bestFit="1" customWidth="1"/>
    <col min="13314" max="13315" width="21" style="1" bestFit="1" customWidth="1"/>
    <col min="13316" max="13316" width="10" style="1" bestFit="1" customWidth="1"/>
    <col min="13317" max="13317" width="21" style="1" bestFit="1" customWidth="1"/>
    <col min="13318" max="13318" width="22" style="1" bestFit="1" customWidth="1"/>
    <col min="13319" max="13319" width="19" style="1" bestFit="1" customWidth="1"/>
    <col min="13320" max="13320" width="31" style="1" bestFit="1" customWidth="1"/>
    <col min="13321" max="13322" width="9" style="1" bestFit="1" customWidth="1"/>
    <col min="13323" max="13323" width="20" style="1" bestFit="1" customWidth="1"/>
    <col min="13324" max="13324" width="19" style="1" bestFit="1" customWidth="1"/>
    <col min="13325" max="13327" width="0" style="1" hidden="1" bestFit="1" customWidth="1"/>
    <col min="13328" max="13568" width="9.109375" style="1"/>
    <col min="13569" max="13569" width="53" style="1" bestFit="1" customWidth="1"/>
    <col min="13570" max="13571" width="21" style="1" bestFit="1" customWidth="1"/>
    <col min="13572" max="13572" width="10" style="1" bestFit="1" customWidth="1"/>
    <col min="13573" max="13573" width="21" style="1" bestFit="1" customWidth="1"/>
    <col min="13574" max="13574" width="22" style="1" bestFit="1" customWidth="1"/>
    <col min="13575" max="13575" width="19" style="1" bestFit="1" customWidth="1"/>
    <col min="13576" max="13576" width="31" style="1" bestFit="1" customWidth="1"/>
    <col min="13577" max="13578" width="9" style="1" bestFit="1" customWidth="1"/>
    <col min="13579" max="13579" width="20" style="1" bestFit="1" customWidth="1"/>
    <col min="13580" max="13580" width="19" style="1" bestFit="1" customWidth="1"/>
    <col min="13581" max="13583" width="0" style="1" hidden="1" bestFit="1" customWidth="1"/>
    <col min="13584" max="13824" width="9.109375" style="1"/>
    <col min="13825" max="13825" width="53" style="1" bestFit="1" customWidth="1"/>
    <col min="13826" max="13827" width="21" style="1" bestFit="1" customWidth="1"/>
    <col min="13828" max="13828" width="10" style="1" bestFit="1" customWidth="1"/>
    <col min="13829" max="13829" width="21" style="1" bestFit="1" customWidth="1"/>
    <col min="13830" max="13830" width="22" style="1" bestFit="1" customWidth="1"/>
    <col min="13831" max="13831" width="19" style="1" bestFit="1" customWidth="1"/>
    <col min="13832" max="13832" width="31" style="1" bestFit="1" customWidth="1"/>
    <col min="13833" max="13834" width="9" style="1" bestFit="1" customWidth="1"/>
    <col min="13835" max="13835" width="20" style="1" bestFit="1" customWidth="1"/>
    <col min="13836" max="13836" width="19" style="1" bestFit="1" customWidth="1"/>
    <col min="13837" max="13839" width="0" style="1" hidden="1" bestFit="1" customWidth="1"/>
    <col min="13840" max="14080" width="9.109375" style="1"/>
    <col min="14081" max="14081" width="53" style="1" bestFit="1" customWidth="1"/>
    <col min="14082" max="14083" width="21" style="1" bestFit="1" customWidth="1"/>
    <col min="14084" max="14084" width="10" style="1" bestFit="1" customWidth="1"/>
    <col min="14085" max="14085" width="21" style="1" bestFit="1" customWidth="1"/>
    <col min="14086" max="14086" width="22" style="1" bestFit="1" customWidth="1"/>
    <col min="14087" max="14087" width="19" style="1" bestFit="1" customWidth="1"/>
    <col min="14088" max="14088" width="31" style="1" bestFit="1" customWidth="1"/>
    <col min="14089" max="14090" width="9" style="1" bestFit="1" customWidth="1"/>
    <col min="14091" max="14091" width="20" style="1" bestFit="1" customWidth="1"/>
    <col min="14092" max="14092" width="19" style="1" bestFit="1" customWidth="1"/>
    <col min="14093" max="14095" width="0" style="1" hidden="1" bestFit="1" customWidth="1"/>
    <col min="14096" max="14336" width="9.109375" style="1"/>
    <col min="14337" max="14337" width="53" style="1" bestFit="1" customWidth="1"/>
    <col min="14338" max="14339" width="21" style="1" bestFit="1" customWidth="1"/>
    <col min="14340" max="14340" width="10" style="1" bestFit="1" customWidth="1"/>
    <col min="14341" max="14341" width="21" style="1" bestFit="1" customWidth="1"/>
    <col min="14342" max="14342" width="22" style="1" bestFit="1" customWidth="1"/>
    <col min="14343" max="14343" width="19" style="1" bestFit="1" customWidth="1"/>
    <col min="14344" max="14344" width="31" style="1" bestFit="1" customWidth="1"/>
    <col min="14345" max="14346" width="9" style="1" bestFit="1" customWidth="1"/>
    <col min="14347" max="14347" width="20" style="1" bestFit="1" customWidth="1"/>
    <col min="14348" max="14348" width="19" style="1" bestFit="1" customWidth="1"/>
    <col min="14349" max="14351" width="0" style="1" hidden="1" bestFit="1" customWidth="1"/>
    <col min="14352" max="14592" width="9.109375" style="1"/>
    <col min="14593" max="14593" width="53" style="1" bestFit="1" customWidth="1"/>
    <col min="14594" max="14595" width="21" style="1" bestFit="1" customWidth="1"/>
    <col min="14596" max="14596" width="10" style="1" bestFit="1" customWidth="1"/>
    <col min="14597" max="14597" width="21" style="1" bestFit="1" customWidth="1"/>
    <col min="14598" max="14598" width="22" style="1" bestFit="1" customWidth="1"/>
    <col min="14599" max="14599" width="19" style="1" bestFit="1" customWidth="1"/>
    <col min="14600" max="14600" width="31" style="1" bestFit="1" customWidth="1"/>
    <col min="14601" max="14602" width="9" style="1" bestFit="1" customWidth="1"/>
    <col min="14603" max="14603" width="20" style="1" bestFit="1" customWidth="1"/>
    <col min="14604" max="14604" width="19" style="1" bestFit="1" customWidth="1"/>
    <col min="14605" max="14607" width="0" style="1" hidden="1" bestFit="1" customWidth="1"/>
    <col min="14608" max="14848" width="9.109375" style="1"/>
    <col min="14849" max="14849" width="53" style="1" bestFit="1" customWidth="1"/>
    <col min="14850" max="14851" width="21" style="1" bestFit="1" customWidth="1"/>
    <col min="14852" max="14852" width="10" style="1" bestFit="1" customWidth="1"/>
    <col min="14853" max="14853" width="21" style="1" bestFit="1" customWidth="1"/>
    <col min="14854" max="14854" width="22" style="1" bestFit="1" customWidth="1"/>
    <col min="14855" max="14855" width="19" style="1" bestFit="1" customWidth="1"/>
    <col min="14856" max="14856" width="31" style="1" bestFit="1" customWidth="1"/>
    <col min="14857" max="14858" width="9" style="1" bestFit="1" customWidth="1"/>
    <col min="14859" max="14859" width="20" style="1" bestFit="1" customWidth="1"/>
    <col min="14860" max="14860" width="19" style="1" bestFit="1" customWidth="1"/>
    <col min="14861" max="14863" width="0" style="1" hidden="1" bestFit="1" customWidth="1"/>
    <col min="14864" max="15104" width="9.109375" style="1"/>
    <col min="15105" max="15105" width="53" style="1" bestFit="1" customWidth="1"/>
    <col min="15106" max="15107" width="21" style="1" bestFit="1" customWidth="1"/>
    <col min="15108" max="15108" width="10" style="1" bestFit="1" customWidth="1"/>
    <col min="15109" max="15109" width="21" style="1" bestFit="1" customWidth="1"/>
    <col min="15110" max="15110" width="22" style="1" bestFit="1" customWidth="1"/>
    <col min="15111" max="15111" width="19" style="1" bestFit="1" customWidth="1"/>
    <col min="15112" max="15112" width="31" style="1" bestFit="1" customWidth="1"/>
    <col min="15113" max="15114" width="9" style="1" bestFit="1" customWidth="1"/>
    <col min="15115" max="15115" width="20" style="1" bestFit="1" customWidth="1"/>
    <col min="15116" max="15116" width="19" style="1" bestFit="1" customWidth="1"/>
    <col min="15117" max="15119" width="0" style="1" hidden="1" bestFit="1" customWidth="1"/>
    <col min="15120" max="15360" width="9.109375" style="1"/>
    <col min="15361" max="15361" width="53" style="1" bestFit="1" customWidth="1"/>
    <col min="15362" max="15363" width="21" style="1" bestFit="1" customWidth="1"/>
    <col min="15364" max="15364" width="10" style="1" bestFit="1" customWidth="1"/>
    <col min="15365" max="15365" width="21" style="1" bestFit="1" customWidth="1"/>
    <col min="15366" max="15366" width="22" style="1" bestFit="1" customWidth="1"/>
    <col min="15367" max="15367" width="19" style="1" bestFit="1" customWidth="1"/>
    <col min="15368" max="15368" width="31" style="1" bestFit="1" customWidth="1"/>
    <col min="15369" max="15370" width="9" style="1" bestFit="1" customWidth="1"/>
    <col min="15371" max="15371" width="20" style="1" bestFit="1" customWidth="1"/>
    <col min="15372" max="15372" width="19" style="1" bestFit="1" customWidth="1"/>
    <col min="15373" max="15375" width="0" style="1" hidden="1" bestFit="1" customWidth="1"/>
    <col min="15376" max="15616" width="9.109375" style="1"/>
    <col min="15617" max="15617" width="53" style="1" bestFit="1" customWidth="1"/>
    <col min="15618" max="15619" width="21" style="1" bestFit="1" customWidth="1"/>
    <col min="15620" max="15620" width="10" style="1" bestFit="1" customWidth="1"/>
    <col min="15621" max="15621" width="21" style="1" bestFit="1" customWidth="1"/>
    <col min="15622" max="15622" width="22" style="1" bestFit="1" customWidth="1"/>
    <col min="15623" max="15623" width="19" style="1" bestFit="1" customWidth="1"/>
    <col min="15624" max="15624" width="31" style="1" bestFit="1" customWidth="1"/>
    <col min="15625" max="15626" width="9" style="1" bestFit="1" customWidth="1"/>
    <col min="15627" max="15627" width="20" style="1" bestFit="1" customWidth="1"/>
    <col min="15628" max="15628" width="19" style="1" bestFit="1" customWidth="1"/>
    <col min="15629" max="15631" width="0" style="1" hidden="1" bestFit="1" customWidth="1"/>
    <col min="15632" max="15872" width="9.109375" style="1"/>
    <col min="15873" max="15873" width="53" style="1" bestFit="1" customWidth="1"/>
    <col min="15874" max="15875" width="21" style="1" bestFit="1" customWidth="1"/>
    <col min="15876" max="15876" width="10" style="1" bestFit="1" customWidth="1"/>
    <col min="15877" max="15877" width="21" style="1" bestFit="1" customWidth="1"/>
    <col min="15878" max="15878" width="22" style="1" bestFit="1" customWidth="1"/>
    <col min="15879" max="15879" width="19" style="1" bestFit="1" customWidth="1"/>
    <col min="15880" max="15880" width="31" style="1" bestFit="1" customWidth="1"/>
    <col min="15881" max="15882" width="9" style="1" bestFit="1" customWidth="1"/>
    <col min="15883" max="15883" width="20" style="1" bestFit="1" customWidth="1"/>
    <col min="15884" max="15884" width="19" style="1" bestFit="1" customWidth="1"/>
    <col min="15885" max="15887" width="0" style="1" hidden="1" bestFit="1" customWidth="1"/>
    <col min="15888" max="16128" width="9.109375" style="1"/>
    <col min="16129" max="16129" width="53" style="1" bestFit="1" customWidth="1"/>
    <col min="16130" max="16131" width="21" style="1" bestFit="1" customWidth="1"/>
    <col min="16132" max="16132" width="10" style="1" bestFit="1" customWidth="1"/>
    <col min="16133" max="16133" width="21" style="1" bestFit="1" customWidth="1"/>
    <col min="16134" max="16134" width="22" style="1" bestFit="1" customWidth="1"/>
    <col min="16135" max="16135" width="19" style="1" bestFit="1" customWidth="1"/>
    <col min="16136" max="16136" width="31" style="1" bestFit="1" customWidth="1"/>
    <col min="16137" max="16138" width="9" style="1" bestFit="1" customWidth="1"/>
    <col min="16139" max="16139" width="20" style="1" bestFit="1" customWidth="1"/>
    <col min="16140" max="16140" width="19" style="1" bestFit="1" customWidth="1"/>
    <col min="16141" max="16143" width="0" style="1" hidden="1" bestFit="1" customWidth="1"/>
    <col min="16144" max="16384" width="9.109375" style="1"/>
  </cols>
  <sheetData>
    <row r="1" spans="1:20" x14ac:dyDescent="0.3">
      <c r="A1" s="16" t="s">
        <v>3</v>
      </c>
    </row>
    <row r="4" spans="1:20" x14ac:dyDescent="0.3">
      <c r="A4" s="142" t="s">
        <v>634</v>
      </c>
      <c r="B4" s="19"/>
      <c r="C4" s="19"/>
      <c r="D4" s="19"/>
      <c r="E4" s="19"/>
      <c r="F4" s="19"/>
      <c r="G4" s="19"/>
      <c r="H4" s="19"/>
      <c r="I4" s="19"/>
      <c r="J4" s="19"/>
      <c r="K4" s="19"/>
      <c r="L4" s="19"/>
      <c r="Q4" s="1" t="s">
        <v>4</v>
      </c>
      <c r="R4" s="1" t="str">
        <f>A7</f>
        <v>2021-04-06</v>
      </c>
    </row>
    <row r="5" spans="1:20" x14ac:dyDescent="0.3">
      <c r="A5" s="19"/>
      <c r="B5" s="19"/>
      <c r="C5" s="19"/>
      <c r="D5" s="19"/>
      <c r="E5" s="19"/>
      <c r="F5" s="19"/>
      <c r="G5" s="19"/>
      <c r="H5" s="19"/>
      <c r="I5" s="19"/>
      <c r="J5" s="19"/>
      <c r="K5" s="19"/>
      <c r="L5" s="19"/>
      <c r="Q5" s="6" t="s">
        <v>100</v>
      </c>
      <c r="R5" s="6">
        <f>SUMPRODUCT(C13:C31,E13:E31)/C7</f>
        <v>0</v>
      </c>
    </row>
    <row r="6" spans="1:20" x14ac:dyDescent="0.3">
      <c r="A6" s="19" t="s">
        <v>4</v>
      </c>
      <c r="B6" s="19" t="s">
        <v>5</v>
      </c>
      <c r="C6" s="19" t="s">
        <v>6</v>
      </c>
      <c r="D6" s="19" t="s">
        <v>7</v>
      </c>
      <c r="E6" s="19" t="s">
        <v>8</v>
      </c>
      <c r="F6" s="19" t="s">
        <v>9</v>
      </c>
      <c r="G6" s="19"/>
      <c r="H6" s="19"/>
      <c r="I6" s="19"/>
      <c r="J6" s="19"/>
      <c r="K6" s="19"/>
      <c r="L6" s="19"/>
    </row>
    <row r="7" spans="1:20" x14ac:dyDescent="0.3">
      <c r="A7" s="19" t="s">
        <v>635</v>
      </c>
      <c r="B7" s="19" t="s">
        <v>10</v>
      </c>
      <c r="C7" s="19" t="s">
        <v>636</v>
      </c>
      <c r="D7" s="19" t="s">
        <v>11</v>
      </c>
      <c r="E7" s="19" t="s">
        <v>12</v>
      </c>
      <c r="F7" s="19" t="s">
        <v>583</v>
      </c>
      <c r="G7" s="19"/>
      <c r="H7" s="19"/>
      <c r="I7" s="19"/>
      <c r="J7" s="19"/>
      <c r="K7" s="19"/>
      <c r="L7" s="19"/>
      <c r="Q7" s="4"/>
      <c r="R7" s="5" t="s">
        <v>370</v>
      </c>
      <c r="S7" s="5" t="s">
        <v>371</v>
      </c>
      <c r="T7" s="5" t="s">
        <v>369</v>
      </c>
    </row>
    <row r="8" spans="1:20" x14ac:dyDescent="0.3">
      <c r="A8" s="19"/>
      <c r="B8" s="19"/>
      <c r="C8" s="19"/>
      <c r="D8" s="19"/>
      <c r="E8" s="19"/>
      <c r="F8" s="19"/>
      <c r="G8" s="19"/>
      <c r="H8" s="19"/>
      <c r="I8" s="19"/>
      <c r="J8" s="19"/>
      <c r="K8" s="19"/>
      <c r="L8" s="19"/>
      <c r="Q8" s="4" t="s">
        <v>373</v>
      </c>
      <c r="R8" s="4" t="e">
        <f ca="1">SUMPRODUCT('Live Price'!X4:X22,'Live Price'!$AA4:$AA22)/R5</f>
        <v>#NAME?</v>
      </c>
      <c r="S8" s="4" t="e">
        <f ca="1">SUMPRODUCT('Live Price'!Y4:Y22,'Live Price'!$AA4:$AA22)/$R$5</f>
        <v>#NAME?</v>
      </c>
      <c r="T8" s="4" t="e">
        <f ca="1">SUMPRODUCT('Live Price'!Z4:Z22,'Live Price'!$AA4:$AA22)/$R$5</f>
        <v>#NAME?</v>
      </c>
    </row>
    <row r="9" spans="1:20" x14ac:dyDescent="0.3">
      <c r="A9" s="19"/>
      <c r="B9" s="19"/>
      <c r="C9" s="19"/>
      <c r="D9" s="19"/>
      <c r="E9" s="19"/>
      <c r="F9" s="19"/>
      <c r="G9" s="19"/>
      <c r="H9" s="19"/>
      <c r="I9" s="19"/>
      <c r="J9" s="19"/>
      <c r="K9" s="19"/>
      <c r="L9" s="19"/>
      <c r="R9" s="4"/>
    </row>
    <row r="10" spans="1:20" x14ac:dyDescent="0.3">
      <c r="A10" s="142" t="s">
        <v>637</v>
      </c>
      <c r="B10" s="19"/>
      <c r="C10" s="19"/>
      <c r="D10" s="19"/>
      <c r="E10" s="19"/>
      <c r="F10" s="19"/>
      <c r="G10" s="19"/>
      <c r="H10" s="19"/>
      <c r="I10" s="19"/>
      <c r="J10" s="19"/>
      <c r="K10" s="19"/>
      <c r="L10" s="19"/>
    </row>
    <row r="11" spans="1:20" x14ac:dyDescent="0.3">
      <c r="A11" s="19"/>
      <c r="B11" s="19"/>
      <c r="C11" s="19"/>
      <c r="D11" s="19"/>
      <c r="E11" s="19"/>
      <c r="F11" s="19"/>
      <c r="G11" s="19"/>
      <c r="H11" s="19"/>
      <c r="I11" s="19"/>
      <c r="J11" s="19"/>
      <c r="K11" s="19"/>
      <c r="L11" s="19"/>
    </row>
    <row r="12" spans="1:20" x14ac:dyDescent="0.3">
      <c r="A12" s="19" t="s">
        <v>8</v>
      </c>
      <c r="B12" s="19" t="s">
        <v>13</v>
      </c>
      <c r="C12" s="19" t="s">
        <v>14</v>
      </c>
      <c r="D12" s="19" t="s">
        <v>7</v>
      </c>
      <c r="E12" s="19" t="s">
        <v>15</v>
      </c>
      <c r="F12" s="19" t="s">
        <v>16</v>
      </c>
      <c r="G12" s="19" t="s">
        <v>17</v>
      </c>
      <c r="H12" s="19" t="s">
        <v>18</v>
      </c>
      <c r="I12" s="19" t="s">
        <v>19</v>
      </c>
      <c r="J12" s="19" t="s">
        <v>20</v>
      </c>
      <c r="K12" s="19" t="s">
        <v>21</v>
      </c>
      <c r="L12" s="19" t="s">
        <v>22</v>
      </c>
    </row>
    <row r="13" spans="1:20" x14ac:dyDescent="0.3">
      <c r="A13" s="19" t="s">
        <v>23</v>
      </c>
      <c r="B13" s="19" t="s">
        <v>24</v>
      </c>
      <c r="C13" s="19" t="s">
        <v>638</v>
      </c>
      <c r="D13" s="19" t="s">
        <v>11</v>
      </c>
      <c r="E13" s="19" t="s">
        <v>639</v>
      </c>
      <c r="F13" s="19" t="s">
        <v>640</v>
      </c>
      <c r="G13" s="19" t="s">
        <v>25</v>
      </c>
      <c r="H13" s="19"/>
      <c r="I13" s="19" t="s">
        <v>25</v>
      </c>
      <c r="J13" s="19" t="s">
        <v>26</v>
      </c>
      <c r="K13" s="19" t="s">
        <v>27</v>
      </c>
      <c r="L13" s="19" t="s">
        <v>11</v>
      </c>
      <c r="R13" s="145"/>
    </row>
    <row r="14" spans="1:20" x14ac:dyDescent="0.3">
      <c r="A14" s="19" t="s">
        <v>28</v>
      </c>
      <c r="B14" s="19" t="s">
        <v>29</v>
      </c>
      <c r="C14" s="19" t="s">
        <v>641</v>
      </c>
      <c r="D14" s="19" t="s">
        <v>11</v>
      </c>
      <c r="E14" s="19" t="s">
        <v>642</v>
      </c>
      <c r="F14" s="19" t="s">
        <v>643</v>
      </c>
      <c r="G14" s="19" t="s">
        <v>25</v>
      </c>
      <c r="H14" s="19"/>
      <c r="I14" s="19" t="s">
        <v>25</v>
      </c>
      <c r="J14" s="19" t="s">
        <v>26</v>
      </c>
      <c r="K14" s="19" t="s">
        <v>30</v>
      </c>
      <c r="L14" s="19" t="s">
        <v>11</v>
      </c>
    </row>
    <row r="15" spans="1:20" x14ac:dyDescent="0.3">
      <c r="A15" s="19" t="s">
        <v>31</v>
      </c>
      <c r="B15" s="19" t="s">
        <v>32</v>
      </c>
      <c r="C15" s="19" t="s">
        <v>644</v>
      </c>
      <c r="D15" s="19" t="s">
        <v>11</v>
      </c>
      <c r="E15" s="19" t="s">
        <v>645</v>
      </c>
      <c r="F15" s="19" t="s">
        <v>646</v>
      </c>
      <c r="G15" s="19" t="s">
        <v>25</v>
      </c>
      <c r="H15" s="19"/>
      <c r="I15" s="19" t="s">
        <v>25</v>
      </c>
      <c r="J15" s="19" t="s">
        <v>26</v>
      </c>
      <c r="K15" s="19" t="s">
        <v>33</v>
      </c>
      <c r="L15" s="19" t="s">
        <v>11</v>
      </c>
    </row>
    <row r="16" spans="1:20" x14ac:dyDescent="0.3">
      <c r="A16" s="19" t="s">
        <v>34</v>
      </c>
      <c r="B16" s="19" t="s">
        <v>35</v>
      </c>
      <c r="C16" s="19" t="s">
        <v>647</v>
      </c>
      <c r="D16" s="19" t="s">
        <v>11</v>
      </c>
      <c r="E16" s="19" t="s">
        <v>648</v>
      </c>
      <c r="F16" s="19" t="s">
        <v>584</v>
      </c>
      <c r="G16" s="19" t="s">
        <v>25</v>
      </c>
      <c r="H16" s="19"/>
      <c r="I16" s="19" t="s">
        <v>25</v>
      </c>
      <c r="J16" s="19" t="s">
        <v>26</v>
      </c>
      <c r="K16" s="19" t="s">
        <v>36</v>
      </c>
      <c r="L16" s="19" t="s">
        <v>11</v>
      </c>
    </row>
    <row r="17" spans="1:12" x14ac:dyDescent="0.3">
      <c r="A17" s="19" t="s">
        <v>37</v>
      </c>
      <c r="B17" s="19" t="s">
        <v>38</v>
      </c>
      <c r="C17" s="19" t="s">
        <v>649</v>
      </c>
      <c r="D17" s="19" t="s">
        <v>11</v>
      </c>
      <c r="E17" s="19" t="s">
        <v>650</v>
      </c>
      <c r="F17" s="19" t="s">
        <v>651</v>
      </c>
      <c r="G17" s="19" t="s">
        <v>25</v>
      </c>
      <c r="H17" s="19"/>
      <c r="I17" s="19" t="s">
        <v>25</v>
      </c>
      <c r="J17" s="19" t="s">
        <v>26</v>
      </c>
      <c r="K17" s="19" t="s">
        <v>39</v>
      </c>
      <c r="L17" s="19" t="s">
        <v>11</v>
      </c>
    </row>
    <row r="18" spans="1:12" x14ac:dyDescent="0.3">
      <c r="A18" s="19" t="s">
        <v>46</v>
      </c>
      <c r="B18" s="19" t="s">
        <v>47</v>
      </c>
      <c r="C18" s="19" t="s">
        <v>652</v>
      </c>
      <c r="D18" s="19" t="s">
        <v>11</v>
      </c>
      <c r="E18" s="19" t="s">
        <v>653</v>
      </c>
      <c r="F18" s="19" t="s">
        <v>654</v>
      </c>
      <c r="G18" s="19" t="s">
        <v>25</v>
      </c>
      <c r="H18" s="19"/>
      <c r="I18" s="19" t="s">
        <v>25</v>
      </c>
      <c r="J18" s="19" t="s">
        <v>26</v>
      </c>
      <c r="K18" s="19" t="s">
        <v>48</v>
      </c>
      <c r="L18" s="19" t="s">
        <v>11</v>
      </c>
    </row>
    <row r="19" spans="1:12" x14ac:dyDescent="0.3">
      <c r="A19" s="19" t="s">
        <v>40</v>
      </c>
      <c r="B19" s="19" t="s">
        <v>41</v>
      </c>
      <c r="C19" s="19" t="s">
        <v>655</v>
      </c>
      <c r="D19" s="19" t="s">
        <v>11</v>
      </c>
      <c r="E19" s="19" t="s">
        <v>656</v>
      </c>
      <c r="F19" s="19" t="s">
        <v>654</v>
      </c>
      <c r="G19" s="19" t="s">
        <v>25</v>
      </c>
      <c r="H19" s="19"/>
      <c r="I19" s="19" t="s">
        <v>25</v>
      </c>
      <c r="J19" s="19" t="s">
        <v>26</v>
      </c>
      <c r="K19" s="19" t="s">
        <v>42</v>
      </c>
      <c r="L19" s="19" t="s">
        <v>11</v>
      </c>
    </row>
    <row r="20" spans="1:12" x14ac:dyDescent="0.3">
      <c r="A20" s="19" t="s">
        <v>43</v>
      </c>
      <c r="B20" s="19" t="s">
        <v>44</v>
      </c>
      <c r="C20" s="19" t="s">
        <v>657</v>
      </c>
      <c r="D20" s="19" t="s">
        <v>11</v>
      </c>
      <c r="E20" s="19" t="s">
        <v>658</v>
      </c>
      <c r="F20" s="19" t="s">
        <v>659</v>
      </c>
      <c r="G20" s="19" t="s">
        <v>25</v>
      </c>
      <c r="H20" s="19"/>
      <c r="I20" s="19" t="s">
        <v>25</v>
      </c>
      <c r="J20" s="19" t="s">
        <v>26</v>
      </c>
      <c r="K20" s="19" t="s">
        <v>45</v>
      </c>
      <c r="L20" s="19" t="s">
        <v>11</v>
      </c>
    </row>
    <row r="21" spans="1:12" x14ac:dyDescent="0.3">
      <c r="A21" s="19" t="s">
        <v>55</v>
      </c>
      <c r="B21" s="19" t="s">
        <v>56</v>
      </c>
      <c r="C21" s="19" t="s">
        <v>660</v>
      </c>
      <c r="D21" s="19" t="s">
        <v>11</v>
      </c>
      <c r="E21" s="19" t="s">
        <v>661</v>
      </c>
      <c r="F21" s="19" t="s">
        <v>662</v>
      </c>
      <c r="G21" s="19" t="s">
        <v>25</v>
      </c>
      <c r="H21" s="19"/>
      <c r="I21" s="19" t="s">
        <v>25</v>
      </c>
      <c r="J21" s="19" t="s">
        <v>26</v>
      </c>
      <c r="K21" s="19" t="s">
        <v>57</v>
      </c>
      <c r="L21" s="19" t="s">
        <v>11</v>
      </c>
    </row>
    <row r="22" spans="1:12" x14ac:dyDescent="0.3">
      <c r="A22" s="19" t="s">
        <v>49</v>
      </c>
      <c r="B22" s="19" t="s">
        <v>50</v>
      </c>
      <c r="C22" s="19" t="s">
        <v>663</v>
      </c>
      <c r="D22" s="19" t="s">
        <v>11</v>
      </c>
      <c r="E22" s="19" t="s">
        <v>664</v>
      </c>
      <c r="F22" s="19" t="s">
        <v>662</v>
      </c>
      <c r="G22" s="19" t="s">
        <v>25</v>
      </c>
      <c r="H22" s="19"/>
      <c r="I22" s="19" t="s">
        <v>25</v>
      </c>
      <c r="J22" s="19" t="s">
        <v>26</v>
      </c>
      <c r="K22" s="19" t="s">
        <v>51</v>
      </c>
      <c r="L22" s="19" t="s">
        <v>11</v>
      </c>
    </row>
    <row r="23" spans="1:12" x14ac:dyDescent="0.3">
      <c r="A23" s="19" t="s">
        <v>52</v>
      </c>
      <c r="B23" s="19" t="s">
        <v>53</v>
      </c>
      <c r="C23" s="19" t="s">
        <v>665</v>
      </c>
      <c r="D23" s="19" t="s">
        <v>11</v>
      </c>
      <c r="E23" s="19" t="s">
        <v>666</v>
      </c>
      <c r="F23" s="19" t="s">
        <v>667</v>
      </c>
      <c r="G23" s="19" t="s">
        <v>25</v>
      </c>
      <c r="H23" s="19"/>
      <c r="I23" s="19" t="s">
        <v>25</v>
      </c>
      <c r="J23" s="19" t="s">
        <v>26</v>
      </c>
      <c r="K23" s="19" t="s">
        <v>54</v>
      </c>
      <c r="L23" s="19" t="s">
        <v>11</v>
      </c>
    </row>
    <row r="24" spans="1:12" x14ac:dyDescent="0.3">
      <c r="A24" s="19" t="s">
        <v>58</v>
      </c>
      <c r="B24" s="19" t="s">
        <v>59</v>
      </c>
      <c r="C24" s="19" t="s">
        <v>668</v>
      </c>
      <c r="D24" s="19" t="s">
        <v>11</v>
      </c>
      <c r="E24" s="19" t="s">
        <v>669</v>
      </c>
      <c r="F24" s="19" t="s">
        <v>670</v>
      </c>
      <c r="G24" s="19" t="s">
        <v>25</v>
      </c>
      <c r="H24" s="19"/>
      <c r="I24" s="19" t="s">
        <v>25</v>
      </c>
      <c r="J24" s="19" t="s">
        <v>26</v>
      </c>
      <c r="K24" s="19" t="s">
        <v>60</v>
      </c>
      <c r="L24" s="19" t="s">
        <v>11</v>
      </c>
    </row>
    <row r="25" spans="1:12" x14ac:dyDescent="0.3">
      <c r="A25" s="19" t="s">
        <v>67</v>
      </c>
      <c r="B25" s="19" t="s">
        <v>68</v>
      </c>
      <c r="C25" s="19" t="s">
        <v>671</v>
      </c>
      <c r="D25" s="19" t="s">
        <v>11</v>
      </c>
      <c r="E25" s="19" t="s">
        <v>672</v>
      </c>
      <c r="F25" s="19" t="s">
        <v>673</v>
      </c>
      <c r="G25" s="19" t="s">
        <v>25</v>
      </c>
      <c r="H25" s="19"/>
      <c r="I25" s="19" t="s">
        <v>25</v>
      </c>
      <c r="J25" s="19" t="s">
        <v>26</v>
      </c>
      <c r="K25" s="19" t="s">
        <v>69</v>
      </c>
      <c r="L25" s="19" t="s">
        <v>11</v>
      </c>
    </row>
    <row r="26" spans="1:12" x14ac:dyDescent="0.3">
      <c r="A26" s="19" t="s">
        <v>64</v>
      </c>
      <c r="B26" s="19" t="s">
        <v>65</v>
      </c>
      <c r="C26" s="19" t="s">
        <v>674</v>
      </c>
      <c r="D26" s="19" t="s">
        <v>11</v>
      </c>
      <c r="E26" s="19" t="s">
        <v>675</v>
      </c>
      <c r="F26" s="19" t="s">
        <v>673</v>
      </c>
      <c r="G26" s="19" t="s">
        <v>25</v>
      </c>
      <c r="H26" s="19"/>
      <c r="I26" s="19" t="s">
        <v>25</v>
      </c>
      <c r="J26" s="19" t="s">
        <v>26</v>
      </c>
      <c r="K26" s="19" t="s">
        <v>66</v>
      </c>
      <c r="L26" s="19" t="s">
        <v>11</v>
      </c>
    </row>
    <row r="27" spans="1:12" x14ac:dyDescent="0.3">
      <c r="A27" s="19" t="s">
        <v>61</v>
      </c>
      <c r="B27" s="19" t="s">
        <v>62</v>
      </c>
      <c r="C27" s="19" t="s">
        <v>676</v>
      </c>
      <c r="D27" s="19" t="s">
        <v>11</v>
      </c>
      <c r="E27" s="19" t="s">
        <v>677</v>
      </c>
      <c r="F27" s="19" t="s">
        <v>585</v>
      </c>
      <c r="G27" s="19" t="s">
        <v>25</v>
      </c>
      <c r="H27" s="19"/>
      <c r="I27" s="19" t="s">
        <v>25</v>
      </c>
      <c r="J27" s="19" t="s">
        <v>26</v>
      </c>
      <c r="K27" s="19" t="s">
        <v>63</v>
      </c>
      <c r="L27" s="19" t="s">
        <v>11</v>
      </c>
    </row>
    <row r="28" spans="1:12" x14ac:dyDescent="0.3">
      <c r="A28" s="19" t="s">
        <v>70</v>
      </c>
      <c r="B28" s="19" t="s">
        <v>71</v>
      </c>
      <c r="C28" s="19" t="s">
        <v>678</v>
      </c>
      <c r="D28" s="19" t="s">
        <v>11</v>
      </c>
      <c r="E28" s="19" t="s">
        <v>679</v>
      </c>
      <c r="F28" s="19" t="s">
        <v>586</v>
      </c>
      <c r="G28" s="19" t="s">
        <v>25</v>
      </c>
      <c r="H28" s="19"/>
      <c r="I28" s="19" t="s">
        <v>25</v>
      </c>
      <c r="J28" s="19" t="s">
        <v>26</v>
      </c>
      <c r="K28" s="19" t="s">
        <v>72</v>
      </c>
      <c r="L28" s="19" t="s">
        <v>11</v>
      </c>
    </row>
    <row r="29" spans="1:12" x14ac:dyDescent="0.3">
      <c r="A29" s="19" t="s">
        <v>76</v>
      </c>
      <c r="B29" s="19" t="s">
        <v>77</v>
      </c>
      <c r="C29" s="19" t="s">
        <v>680</v>
      </c>
      <c r="D29" s="19" t="s">
        <v>11</v>
      </c>
      <c r="E29" s="19" t="s">
        <v>681</v>
      </c>
      <c r="F29" s="19" t="s">
        <v>587</v>
      </c>
      <c r="G29" s="19" t="s">
        <v>25</v>
      </c>
      <c r="H29" s="19"/>
      <c r="I29" s="19" t="s">
        <v>25</v>
      </c>
      <c r="J29" s="19" t="s">
        <v>26</v>
      </c>
      <c r="K29" s="19" t="s">
        <v>78</v>
      </c>
      <c r="L29" s="19" t="s">
        <v>11</v>
      </c>
    </row>
    <row r="30" spans="1:12" x14ac:dyDescent="0.3">
      <c r="A30" s="19" t="s">
        <v>73</v>
      </c>
      <c r="B30" s="19" t="s">
        <v>74</v>
      </c>
      <c r="C30" s="19" t="s">
        <v>682</v>
      </c>
      <c r="D30" s="19" t="s">
        <v>11</v>
      </c>
      <c r="E30" s="19" t="s">
        <v>683</v>
      </c>
      <c r="F30" s="19" t="s">
        <v>587</v>
      </c>
      <c r="G30" s="19" t="s">
        <v>25</v>
      </c>
      <c r="H30" s="19"/>
      <c r="I30" s="19" t="s">
        <v>25</v>
      </c>
      <c r="J30" s="19" t="s">
        <v>26</v>
      </c>
      <c r="K30" s="19" t="s">
        <v>75</v>
      </c>
      <c r="L30" s="19" t="s">
        <v>11</v>
      </c>
    </row>
    <row r="31" spans="1:12" x14ac:dyDescent="0.3">
      <c r="A31" s="19" t="s">
        <v>79</v>
      </c>
      <c r="B31" s="19" t="s">
        <v>80</v>
      </c>
      <c r="C31" s="19" t="s">
        <v>684</v>
      </c>
      <c r="D31" s="19" t="s">
        <v>11</v>
      </c>
      <c r="E31" s="19" t="s">
        <v>685</v>
      </c>
      <c r="F31" s="19" t="s">
        <v>686</v>
      </c>
      <c r="G31" s="19" t="s">
        <v>25</v>
      </c>
      <c r="H31" s="19"/>
      <c r="I31" s="19" t="s">
        <v>25</v>
      </c>
      <c r="J31" s="19" t="s">
        <v>26</v>
      </c>
      <c r="K31" s="19" t="s">
        <v>81</v>
      </c>
      <c r="L31" s="19" t="s">
        <v>11</v>
      </c>
    </row>
    <row r="32" spans="1:12" x14ac:dyDescent="0.3">
      <c r="A32" s="19"/>
      <c r="B32" s="19"/>
      <c r="C32" s="19"/>
      <c r="D32" s="19"/>
      <c r="E32" s="19"/>
      <c r="F32" s="19"/>
      <c r="G32" s="19"/>
      <c r="H32" s="19"/>
      <c r="I32" s="19"/>
      <c r="J32" s="19"/>
      <c r="K32" s="19"/>
      <c r="L32" s="19"/>
    </row>
    <row r="33" spans="1:12" x14ac:dyDescent="0.3">
      <c r="A33" s="19"/>
      <c r="B33" s="19"/>
      <c r="C33" s="19"/>
      <c r="D33" s="19"/>
      <c r="E33" s="19"/>
      <c r="F33" s="19"/>
      <c r="G33" s="19"/>
      <c r="H33" s="19"/>
      <c r="I33" s="19"/>
      <c r="J33" s="19"/>
      <c r="K33" s="19"/>
      <c r="L33" s="19"/>
    </row>
    <row r="34" spans="1:12" x14ac:dyDescent="0.3">
      <c r="A34" s="142" t="s">
        <v>687</v>
      </c>
      <c r="B34" s="19"/>
      <c r="C34" s="19"/>
      <c r="D34" s="19"/>
      <c r="E34" s="19"/>
      <c r="F34" s="19"/>
      <c r="G34" s="19"/>
      <c r="H34" s="19"/>
      <c r="I34" s="19"/>
      <c r="J34" s="19"/>
      <c r="K34" s="19"/>
      <c r="L34" s="19"/>
    </row>
    <row r="35" spans="1:12" x14ac:dyDescent="0.3">
      <c r="A35" s="19"/>
      <c r="B35" s="19"/>
      <c r="C35" s="19"/>
      <c r="D35" s="19"/>
      <c r="E35" s="19"/>
      <c r="F35" s="19"/>
      <c r="G35" s="19"/>
      <c r="H35" s="19"/>
      <c r="I35" s="19"/>
      <c r="J35" s="19"/>
      <c r="K35" s="19"/>
      <c r="L35" s="19"/>
    </row>
    <row r="36" spans="1:12" x14ac:dyDescent="0.3">
      <c r="A36" s="19" t="s">
        <v>82</v>
      </c>
      <c r="B36" s="19" t="s">
        <v>16</v>
      </c>
      <c r="C36" s="19"/>
      <c r="D36" s="19"/>
      <c r="E36" s="19"/>
      <c r="F36" s="19"/>
      <c r="G36" s="19"/>
      <c r="H36" s="19"/>
      <c r="I36" s="19"/>
      <c r="J36" s="19"/>
      <c r="K36" s="19"/>
      <c r="L36" s="19"/>
    </row>
    <row r="37" spans="1:12" x14ac:dyDescent="0.3">
      <c r="A37" s="19" t="s">
        <v>83</v>
      </c>
      <c r="B37" s="19" t="s">
        <v>688</v>
      </c>
      <c r="C37" s="19"/>
      <c r="D37" s="19"/>
      <c r="E37" s="19"/>
      <c r="F37" s="19"/>
      <c r="G37" s="19"/>
      <c r="H37" s="19"/>
      <c r="I37" s="19"/>
      <c r="J37" s="19"/>
      <c r="K37" s="19"/>
      <c r="L37" s="19"/>
    </row>
    <row r="38" spans="1:12" x14ac:dyDescent="0.3">
      <c r="A38" s="19" t="s">
        <v>84</v>
      </c>
      <c r="B38" s="19" t="s">
        <v>689</v>
      </c>
      <c r="C38" s="19"/>
      <c r="D38" s="19"/>
      <c r="E38" s="19"/>
      <c r="F38" s="19"/>
      <c r="G38" s="19"/>
      <c r="H38" s="19"/>
      <c r="I38" s="19"/>
      <c r="J38" s="19"/>
      <c r="K38" s="19"/>
      <c r="L38" s="19"/>
    </row>
    <row r="39" spans="1:12" x14ac:dyDescent="0.3">
      <c r="A39" s="19" t="s">
        <v>85</v>
      </c>
      <c r="B39" s="19" t="s">
        <v>690</v>
      </c>
      <c r="C39" s="19"/>
      <c r="D39" s="19"/>
      <c r="E39" s="19"/>
      <c r="F39" s="19"/>
      <c r="G39" s="19"/>
      <c r="H39" s="19"/>
      <c r="I39" s="19"/>
      <c r="J39" s="19"/>
      <c r="K39" s="19"/>
      <c r="L39" s="19"/>
    </row>
    <row r="40" spans="1:12" x14ac:dyDescent="0.3">
      <c r="A40" s="19" t="s">
        <v>86</v>
      </c>
      <c r="B40" s="19" t="s">
        <v>584</v>
      </c>
      <c r="C40" s="19"/>
      <c r="D40" s="19"/>
      <c r="E40" s="19"/>
      <c r="F40" s="19"/>
      <c r="G40" s="19"/>
      <c r="H40" s="19"/>
      <c r="I40" s="19"/>
      <c r="J40" s="19"/>
      <c r="K40" s="19"/>
      <c r="L40" s="19"/>
    </row>
    <row r="41" spans="1:12" x14ac:dyDescent="0.3">
      <c r="A41" s="19" t="s">
        <v>87</v>
      </c>
      <c r="B41" s="19" t="s">
        <v>651</v>
      </c>
      <c r="C41" s="19"/>
      <c r="D41" s="19"/>
      <c r="E41" s="19"/>
      <c r="F41" s="19"/>
      <c r="G41" s="19"/>
      <c r="H41" s="19"/>
      <c r="I41" s="19"/>
      <c r="J41" s="19"/>
      <c r="K41" s="19"/>
      <c r="L41" s="19"/>
    </row>
    <row r="42" spans="1:12" x14ac:dyDescent="0.3">
      <c r="A42" s="19" t="s">
        <v>89</v>
      </c>
      <c r="B42" s="19" t="s">
        <v>673</v>
      </c>
      <c r="C42" s="19"/>
      <c r="D42" s="19"/>
      <c r="E42" s="19"/>
      <c r="F42" s="19"/>
      <c r="G42" s="19"/>
      <c r="H42" s="19"/>
      <c r="I42" s="19"/>
      <c r="J42" s="19"/>
      <c r="K42" s="19"/>
      <c r="L42" s="19"/>
    </row>
    <row r="43" spans="1:12" x14ac:dyDescent="0.3">
      <c r="A43" s="19" t="s">
        <v>88</v>
      </c>
      <c r="B43" s="19" t="s">
        <v>585</v>
      </c>
      <c r="C43" s="19"/>
      <c r="D43" s="19"/>
      <c r="E43" s="19"/>
      <c r="F43" s="19"/>
      <c r="G43" s="19"/>
      <c r="H43" s="19"/>
      <c r="I43" s="19"/>
      <c r="J43" s="19"/>
      <c r="K43" s="19"/>
      <c r="L43" s="19"/>
    </row>
    <row r="44" spans="1:12" x14ac:dyDescent="0.3">
      <c r="A44" s="19"/>
      <c r="B44" s="19"/>
      <c r="C44" s="19"/>
      <c r="D44" s="19"/>
      <c r="E44" s="19"/>
      <c r="F44" s="19"/>
      <c r="G44" s="19"/>
      <c r="H44" s="19"/>
      <c r="I44" s="19"/>
      <c r="J44" s="19"/>
      <c r="K44" s="19"/>
      <c r="L44" s="19"/>
    </row>
    <row r="45" spans="1:12" x14ac:dyDescent="0.3">
      <c r="A45" s="19"/>
      <c r="B45" s="19"/>
      <c r="C45" s="19"/>
      <c r="D45" s="19"/>
      <c r="E45" s="19"/>
      <c r="F45" s="19"/>
      <c r="G45" s="19"/>
      <c r="H45" s="19"/>
      <c r="I45" s="19"/>
      <c r="J45" s="19"/>
      <c r="K45" s="19"/>
      <c r="L45" s="19"/>
    </row>
    <row r="46" spans="1:12" x14ac:dyDescent="0.3">
      <c r="A46" s="142" t="s">
        <v>691</v>
      </c>
      <c r="B46" s="19"/>
      <c r="C46" s="19"/>
      <c r="D46" s="19"/>
      <c r="E46" s="19"/>
      <c r="F46" s="19"/>
      <c r="G46" s="19"/>
      <c r="H46" s="19"/>
      <c r="I46" s="19"/>
      <c r="J46" s="19"/>
      <c r="K46" s="19"/>
      <c r="L46" s="19"/>
    </row>
    <row r="47" spans="1:12" x14ac:dyDescent="0.3">
      <c r="A47" s="19"/>
      <c r="B47" s="19"/>
      <c r="C47" s="19"/>
      <c r="D47" s="19"/>
      <c r="E47" s="19"/>
      <c r="F47" s="19"/>
      <c r="G47" s="19"/>
      <c r="H47" s="19"/>
      <c r="I47" s="19"/>
      <c r="J47" s="19"/>
      <c r="K47" s="19"/>
      <c r="L47" s="19"/>
    </row>
    <row r="48" spans="1:12" x14ac:dyDescent="0.3">
      <c r="A48" s="19" t="s">
        <v>90</v>
      </c>
      <c r="B48" s="19" t="s">
        <v>16</v>
      </c>
      <c r="C48" s="19"/>
      <c r="D48" s="19"/>
      <c r="E48" s="19"/>
      <c r="F48" s="19"/>
      <c r="G48" s="19"/>
      <c r="H48" s="19"/>
      <c r="I48" s="19"/>
      <c r="J48" s="19"/>
      <c r="K48" s="19"/>
      <c r="L48" s="19"/>
    </row>
    <row r="49" spans="1:14" x14ac:dyDescent="0.3">
      <c r="A49" s="19" t="s">
        <v>91</v>
      </c>
      <c r="B49" s="19" t="s">
        <v>692</v>
      </c>
      <c r="C49" s="19"/>
      <c r="D49" s="19"/>
      <c r="E49" s="19"/>
      <c r="F49" s="19"/>
      <c r="G49" s="19"/>
      <c r="H49" s="19"/>
      <c r="I49" s="19"/>
      <c r="J49" s="19"/>
      <c r="K49" s="19"/>
      <c r="L49" s="19"/>
    </row>
    <row r="50" spans="1:14" x14ac:dyDescent="0.3">
      <c r="A50" s="19" t="s">
        <v>84</v>
      </c>
      <c r="B50" s="19" t="s">
        <v>689</v>
      </c>
      <c r="C50" s="19"/>
      <c r="D50" s="19"/>
      <c r="E50" s="19"/>
      <c r="F50" s="19"/>
      <c r="G50" s="19"/>
      <c r="H50" s="19"/>
      <c r="I50" s="19"/>
      <c r="J50" s="19"/>
      <c r="K50" s="19"/>
      <c r="L50" s="19"/>
    </row>
    <row r="51" spans="1:14" x14ac:dyDescent="0.3">
      <c r="A51" s="19" t="s">
        <v>92</v>
      </c>
      <c r="B51" s="19" t="s">
        <v>584</v>
      </c>
      <c r="C51" s="19"/>
      <c r="D51" s="19"/>
      <c r="E51" s="19"/>
      <c r="F51" s="19"/>
      <c r="G51" s="19"/>
      <c r="H51" s="19"/>
      <c r="I51" s="19"/>
      <c r="J51" s="19"/>
      <c r="K51" s="19"/>
      <c r="L51" s="19"/>
    </row>
    <row r="52" spans="1:14" x14ac:dyDescent="0.3">
      <c r="A52" s="19" t="s">
        <v>93</v>
      </c>
      <c r="B52" s="19" t="s">
        <v>693</v>
      </c>
      <c r="C52" s="19"/>
      <c r="D52" s="19"/>
      <c r="E52" s="19"/>
      <c r="F52" s="19"/>
      <c r="G52" s="19"/>
      <c r="H52" s="19"/>
      <c r="I52" s="19"/>
      <c r="J52" s="19"/>
      <c r="K52" s="19"/>
      <c r="L52" s="19"/>
    </row>
    <row r="53" spans="1:14" x14ac:dyDescent="0.3">
      <c r="A53" s="19" t="s">
        <v>94</v>
      </c>
      <c r="B53" s="19" t="s">
        <v>651</v>
      </c>
      <c r="C53" s="19"/>
      <c r="D53" s="19"/>
      <c r="E53" s="19"/>
      <c r="F53" s="19"/>
      <c r="G53" s="19"/>
      <c r="H53" s="19"/>
      <c r="I53" s="19"/>
      <c r="J53" s="19"/>
      <c r="K53" s="19"/>
      <c r="L53" s="19"/>
    </row>
    <row r="54" spans="1:14" x14ac:dyDescent="0.3">
      <c r="A54" s="19" t="s">
        <v>95</v>
      </c>
      <c r="B54" s="19" t="s">
        <v>662</v>
      </c>
      <c r="C54" s="19"/>
      <c r="D54" s="19"/>
      <c r="E54" s="19"/>
      <c r="F54" s="19"/>
      <c r="G54" s="19"/>
      <c r="H54" s="19"/>
      <c r="I54" s="19"/>
      <c r="J54" s="19"/>
      <c r="K54" s="19"/>
      <c r="L54" s="19"/>
    </row>
    <row r="55" spans="1:14" x14ac:dyDescent="0.3">
      <c r="A55" s="19" t="s">
        <v>96</v>
      </c>
      <c r="B55" s="19" t="s">
        <v>667</v>
      </c>
      <c r="C55" s="19"/>
      <c r="D55" s="19"/>
      <c r="E55" s="19"/>
      <c r="F55" s="19"/>
      <c r="G55" s="19"/>
      <c r="H55" s="19"/>
      <c r="I55" s="19"/>
      <c r="J55" s="19"/>
      <c r="K55" s="19"/>
      <c r="L55" s="19"/>
    </row>
    <row r="56" spans="1:14" x14ac:dyDescent="0.3">
      <c r="A56" s="19" t="s">
        <v>98</v>
      </c>
      <c r="B56" s="19" t="s">
        <v>673</v>
      </c>
      <c r="C56" s="19"/>
      <c r="D56" s="19"/>
      <c r="E56" s="19"/>
      <c r="F56" s="19"/>
      <c r="G56" s="19"/>
      <c r="H56" s="19"/>
      <c r="I56" s="19"/>
      <c r="J56" s="19"/>
      <c r="K56" s="19"/>
      <c r="L56" s="19"/>
    </row>
    <row r="57" spans="1:14" x14ac:dyDescent="0.3">
      <c r="A57" s="19" t="s">
        <v>97</v>
      </c>
      <c r="B57" s="19" t="s">
        <v>585</v>
      </c>
      <c r="C57" s="19"/>
      <c r="D57" s="19"/>
      <c r="E57" s="19"/>
      <c r="F57" s="19"/>
      <c r="G57" s="19"/>
      <c r="H57" s="19"/>
      <c r="I57" s="19"/>
      <c r="J57" s="19"/>
      <c r="K57" s="19"/>
      <c r="L57" s="19"/>
    </row>
    <row r="58" spans="1:14" x14ac:dyDescent="0.3">
      <c r="E58" s="144"/>
    </row>
    <row r="60" spans="1:14" ht="15" customHeight="1" x14ac:dyDescent="0.3">
      <c r="A60" s="143" t="s">
        <v>99</v>
      </c>
      <c r="B60" s="144"/>
      <c r="C60" s="144"/>
      <c r="D60" s="144"/>
      <c r="F60" s="144"/>
      <c r="G60" s="144"/>
      <c r="H60" s="144"/>
      <c r="I60" s="144"/>
      <c r="J60" s="144"/>
      <c r="K60" s="144"/>
      <c r="L60" s="144"/>
      <c r="M60" s="144"/>
      <c r="N60" s="144"/>
    </row>
    <row r="61" spans="1:14" x14ac:dyDescent="0.3">
      <c r="A61" s="144"/>
      <c r="B61" s="144"/>
      <c r="C61" s="144"/>
      <c r="D61" s="144"/>
      <c r="F61" s="144"/>
      <c r="G61" s="144"/>
      <c r="H61" s="144"/>
      <c r="I61" s="144"/>
      <c r="J61" s="144"/>
      <c r="K61" s="144"/>
      <c r="L61" s="144"/>
      <c r="M61" s="144"/>
      <c r="N61" s="144"/>
    </row>
    <row r="62" spans="1:14" x14ac:dyDescent="0.3">
      <c r="A62" s="144"/>
      <c r="B62" s="144"/>
      <c r="C62" s="144"/>
      <c r="D62" s="144"/>
      <c r="F62" s="144"/>
      <c r="G62" s="144"/>
      <c r="H62" s="144"/>
      <c r="I62" s="144"/>
      <c r="J62" s="144"/>
      <c r="K62" s="144"/>
      <c r="L62" s="144"/>
      <c r="M62" s="144"/>
      <c r="N62" s="144"/>
    </row>
    <row r="63" spans="1:14" x14ac:dyDescent="0.3">
      <c r="A63" s="144"/>
      <c r="B63" s="144"/>
      <c r="C63" s="144"/>
      <c r="D63" s="144"/>
      <c r="F63" s="144"/>
      <c r="G63" s="144"/>
      <c r="H63" s="144"/>
      <c r="I63" s="144"/>
      <c r="J63" s="144"/>
      <c r="K63" s="144"/>
      <c r="L63" s="144"/>
      <c r="M63" s="144"/>
      <c r="N63" s="144"/>
    </row>
    <row r="64" spans="1:14" x14ac:dyDescent="0.3">
      <c r="A64" s="144"/>
      <c r="B64" s="144"/>
      <c r="C64" s="144"/>
      <c r="D64" s="144"/>
      <c r="F64" s="144"/>
      <c r="G64" s="144"/>
      <c r="H64" s="144"/>
      <c r="I64" s="144"/>
      <c r="J64" s="144"/>
      <c r="K64" s="144"/>
      <c r="L64" s="144"/>
      <c r="M64" s="144"/>
      <c r="N64" s="144"/>
    </row>
    <row r="65" spans="1:14" x14ac:dyDescent="0.3">
      <c r="A65" s="144"/>
      <c r="B65" s="144"/>
      <c r="C65" s="144"/>
      <c r="D65" s="144"/>
      <c r="F65" s="144"/>
      <c r="G65" s="144"/>
      <c r="H65" s="144"/>
      <c r="I65" s="144"/>
      <c r="J65" s="144"/>
      <c r="K65" s="144"/>
      <c r="L65" s="144"/>
      <c r="M65" s="144"/>
      <c r="N65" s="144"/>
    </row>
    <row r="66" spans="1:14" x14ac:dyDescent="0.3">
      <c r="A66" s="144"/>
      <c r="B66" s="144"/>
      <c r="C66" s="144"/>
      <c r="D66" s="144"/>
      <c r="F66" s="144"/>
      <c r="G66" s="144"/>
      <c r="H66" s="144"/>
      <c r="I66" s="144"/>
      <c r="J66" s="144"/>
      <c r="K66" s="144"/>
      <c r="L66" s="144"/>
      <c r="M66" s="144"/>
      <c r="N66" s="144"/>
    </row>
    <row r="67" spans="1:14" x14ac:dyDescent="0.3">
      <c r="A67" s="144"/>
      <c r="B67" s="144"/>
      <c r="C67" s="144"/>
      <c r="D67" s="144"/>
      <c r="F67" s="144"/>
      <c r="G67" s="144"/>
      <c r="H67" s="144"/>
      <c r="I67" s="144"/>
      <c r="J67" s="144"/>
      <c r="K67" s="144"/>
      <c r="L67" s="144"/>
      <c r="M67" s="144"/>
      <c r="N67" s="144"/>
    </row>
    <row r="68" spans="1:14" x14ac:dyDescent="0.3">
      <c r="A68" s="144"/>
      <c r="B68" s="144"/>
      <c r="C68" s="144"/>
      <c r="D68" s="144"/>
      <c r="F68" s="144"/>
      <c r="G68" s="144"/>
      <c r="H68" s="144"/>
      <c r="I68" s="144"/>
      <c r="J68" s="144"/>
      <c r="K68" s="144"/>
      <c r="L68" s="144"/>
      <c r="M68" s="144"/>
      <c r="N68" s="144"/>
    </row>
    <row r="69" spans="1:14" x14ac:dyDescent="0.3">
      <c r="A69" s="144"/>
      <c r="B69" s="144"/>
      <c r="C69" s="144"/>
      <c r="D69" s="144"/>
      <c r="F69" s="144"/>
      <c r="G69" s="144"/>
      <c r="H69" s="144"/>
      <c r="I69" s="144"/>
      <c r="J69" s="144"/>
      <c r="K69" s="144"/>
      <c r="L69" s="144"/>
      <c r="M69" s="144"/>
      <c r="N69" s="144"/>
    </row>
    <row r="70" spans="1:14" x14ac:dyDescent="0.3">
      <c r="A70" s="144"/>
      <c r="B70" s="144"/>
      <c r="C70" s="144"/>
      <c r="D70" s="144"/>
      <c r="F70" s="144"/>
      <c r="G70" s="144"/>
      <c r="H70" s="144"/>
      <c r="I70" s="144"/>
      <c r="J70" s="144"/>
      <c r="K70" s="144"/>
      <c r="L70" s="144"/>
      <c r="M70" s="144"/>
      <c r="N70" s="144"/>
    </row>
    <row r="71" spans="1:14" x14ac:dyDescent="0.3">
      <c r="A71" s="144"/>
      <c r="B71" s="144"/>
      <c r="C71" s="144"/>
      <c r="D71" s="144"/>
      <c r="F71" s="144"/>
      <c r="G71" s="144"/>
      <c r="H71" s="144"/>
      <c r="I71" s="144"/>
      <c r="J71" s="144"/>
      <c r="K71" s="144"/>
      <c r="L71" s="144"/>
      <c r="M71" s="144"/>
      <c r="N71" s="144"/>
    </row>
    <row r="72" spans="1:14" x14ac:dyDescent="0.3">
      <c r="A72" s="144"/>
      <c r="B72" s="144"/>
      <c r="C72" s="144"/>
      <c r="D72" s="144"/>
      <c r="F72" s="144"/>
      <c r="G72" s="144"/>
      <c r="H72" s="144"/>
      <c r="I72" s="144"/>
      <c r="J72" s="144"/>
      <c r="K72" s="144"/>
      <c r="L72" s="144"/>
      <c r="M72" s="144"/>
      <c r="N72" s="144"/>
    </row>
    <row r="73" spans="1:14" x14ac:dyDescent="0.3">
      <c r="A73" s="144"/>
      <c r="B73" s="144"/>
      <c r="C73" s="144"/>
      <c r="D73" s="144"/>
      <c r="F73" s="144"/>
      <c r="G73" s="144"/>
      <c r="H73" s="144"/>
      <c r="I73" s="144"/>
      <c r="J73" s="144"/>
      <c r="K73" s="144"/>
      <c r="L73" s="144"/>
      <c r="M73" s="144"/>
      <c r="N73" s="144"/>
    </row>
    <row r="74" spans="1:14" x14ac:dyDescent="0.3">
      <c r="A74" s="144"/>
      <c r="B74" s="144"/>
      <c r="C74" s="144"/>
      <c r="D74" s="144"/>
      <c r="F74" s="144"/>
      <c r="G74" s="144"/>
      <c r="H74" s="144"/>
      <c r="I74" s="144"/>
      <c r="J74" s="144"/>
      <c r="K74" s="144"/>
      <c r="L74" s="144"/>
      <c r="M74" s="144"/>
      <c r="N74" s="144"/>
    </row>
    <row r="75" spans="1:14" x14ac:dyDescent="0.3">
      <c r="A75" s="144"/>
      <c r="B75" s="144"/>
      <c r="C75" s="144"/>
      <c r="D75" s="144"/>
      <c r="F75" s="144"/>
      <c r="G75" s="144"/>
      <c r="H75" s="144"/>
      <c r="I75" s="144"/>
      <c r="J75" s="144"/>
      <c r="K75" s="144"/>
      <c r="L75" s="144"/>
      <c r="M75" s="144"/>
      <c r="N75" s="144"/>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AB37"/>
  <sheetViews>
    <sheetView topLeftCell="G1" zoomScale="85" zoomScaleNormal="85" workbookViewId="0">
      <selection activeCell="AA35" sqref="AA35"/>
    </sheetView>
  </sheetViews>
  <sheetFormatPr defaultRowHeight="14.4" x14ac:dyDescent="0.3"/>
  <cols>
    <col min="3" max="3" width="17" bestFit="1" customWidth="1"/>
    <col min="4" max="4" width="18.88671875" bestFit="1" customWidth="1"/>
    <col min="5" max="5" width="18.5546875" bestFit="1" customWidth="1"/>
    <col min="6" max="6" width="19.33203125" bestFit="1" customWidth="1"/>
    <col min="9" max="9" width="33" bestFit="1" customWidth="1"/>
    <col min="10" max="10" width="19.109375" bestFit="1" customWidth="1"/>
    <col min="13" max="17" width="9.109375" style="19"/>
    <col min="20" max="20" width="24.109375" bestFit="1" customWidth="1"/>
    <col min="22" max="22" width="28.88671875" customWidth="1"/>
    <col min="23" max="23" width="14.6640625" customWidth="1"/>
    <col min="24" max="24" width="20.33203125" bestFit="1" customWidth="1"/>
    <col min="26" max="26" width="19.33203125" bestFit="1" customWidth="1"/>
    <col min="27" max="27" width="12.6640625" bestFit="1" customWidth="1"/>
    <col min="29" max="29" width="24.109375" bestFit="1" customWidth="1"/>
  </cols>
  <sheetData>
    <row r="1" spans="1:28" x14ac:dyDescent="0.3">
      <c r="J1" t="s">
        <v>565</v>
      </c>
    </row>
    <row r="2" spans="1:28" x14ac:dyDescent="0.3">
      <c r="A2" t="s">
        <v>367</v>
      </c>
      <c r="I2" t="s">
        <v>566</v>
      </c>
      <c r="J2" s="19" t="e">
        <f ca="1">_xll.BDP(I2,J1)</f>
        <v>#NAME?</v>
      </c>
      <c r="W2" t="s">
        <v>368</v>
      </c>
      <c r="X2" t="e">
        <f ca="1">_xll.BFieldInfo(X$3)</f>
        <v>#NAME?</v>
      </c>
      <c r="Y2" t="e">
        <f ca="1">_xll.BFieldInfo(Y$3)</f>
        <v>#NAME?</v>
      </c>
      <c r="Z2" t="e">
        <f ca="1">_xll.BFieldInfo(Z$3)</f>
        <v>#NAME?</v>
      </c>
      <c r="AA2" t="s">
        <v>372</v>
      </c>
    </row>
    <row r="3" spans="1:28" x14ac:dyDescent="0.3">
      <c r="D3" t="e">
        <f ca="1">_xll.BFieldInfo(D$4)</f>
        <v>#NAME?</v>
      </c>
      <c r="E3" t="e">
        <f ca="1">_xll.BFieldInfo(E$4)</f>
        <v>#NAME?</v>
      </c>
      <c r="F3" t="e">
        <f ca="1">_xll.BFieldInfo(F$4)</f>
        <v>#NAME?</v>
      </c>
      <c r="G3" t="str">
        <f>'STI ETF '!H9</f>
        <v>SHARES</v>
      </c>
      <c r="H3" t="s">
        <v>564</v>
      </c>
      <c r="I3" t="s">
        <v>567</v>
      </c>
      <c r="J3" t="s">
        <v>568</v>
      </c>
      <c r="X3" t="s">
        <v>1</v>
      </c>
      <c r="Y3" t="s">
        <v>0</v>
      </c>
      <c r="Z3" t="s">
        <v>2</v>
      </c>
    </row>
    <row r="4" spans="1:28" x14ac:dyDescent="0.3">
      <c r="D4" t="s">
        <v>1</v>
      </c>
      <c r="E4" t="s">
        <v>0</v>
      </c>
      <c r="F4" t="s">
        <v>2</v>
      </c>
      <c r="J4" t="s">
        <v>1</v>
      </c>
      <c r="K4" t="s">
        <v>371</v>
      </c>
      <c r="L4" t="s">
        <v>397</v>
      </c>
      <c r="V4" s="144"/>
      <c r="W4" t="str">
        <f>'Name Conversion '!K2</f>
        <v>DBS sp equity</v>
      </c>
      <c r="X4" t="e">
        <f ca="1">_xll.BDP($W4,X$3)</f>
        <v>#NAME?</v>
      </c>
      <c r="Y4" t="e">
        <f ca="1">_xll.BDP($W4,Y$3)</f>
        <v>#NAME?</v>
      </c>
      <c r="Z4" t="e">
        <f ca="1">_xll.BDP($W4,Z$3)</f>
        <v>#NAME?</v>
      </c>
      <c r="AA4" s="146" t="str">
        <f>'SiMSCI '!E13</f>
        <v>1,796,284,457</v>
      </c>
    </row>
    <row r="5" spans="1:28" x14ac:dyDescent="0.3">
      <c r="A5" t="str">
        <f>'Name Conversion '!E2</f>
        <v>STE sp equity</v>
      </c>
      <c r="C5" t="s">
        <v>322</v>
      </c>
      <c r="D5" t="e">
        <f ca="1">_xll.BDP($C5,D$4)</f>
        <v>#NAME?</v>
      </c>
      <c r="E5" t="e">
        <f ca="1">_xll.BDP($C5,E$4)</f>
        <v>#NAME?</v>
      </c>
      <c r="F5" t="e">
        <f ca="1">_xll.BDP($C5,F$4)</f>
        <v>#NAME?</v>
      </c>
      <c r="G5">
        <f>'STI ETF '!H10</f>
        <v>7893</v>
      </c>
      <c r="H5" t="s">
        <v>11</v>
      </c>
      <c r="I5">
        <f>IF(H5="SGD",1,J$2)</f>
        <v>1</v>
      </c>
      <c r="J5" t="e">
        <f ca="1">D5*$I5</f>
        <v>#NAME?</v>
      </c>
      <c r="K5" s="19" t="e">
        <f ca="1">E5*$I5</f>
        <v>#NAME?</v>
      </c>
      <c r="L5" s="19" t="e">
        <f ca="1">F5*$I5</f>
        <v>#NAME?</v>
      </c>
      <c r="V5" s="144"/>
      <c r="W5" t="str">
        <f>'Name Conversion '!K3</f>
        <v>OCBC sp equity</v>
      </c>
      <c r="X5" t="e">
        <f ca="1">_xll.BDP($W5,X$3)</f>
        <v>#NAME?</v>
      </c>
      <c r="Y5" t="e">
        <f ca="1">_xll.BDP($W5,Y$3)</f>
        <v>#NAME?</v>
      </c>
      <c r="Z5" t="e">
        <f ca="1">_xll.BDP($W5,Z$3)</f>
        <v>#NAME?</v>
      </c>
      <c r="AA5" s="146" t="str">
        <f>'SiMSCI '!E14</f>
        <v>3,357,070,600</v>
      </c>
    </row>
    <row r="6" spans="1:28" x14ac:dyDescent="0.3">
      <c r="A6" t="str">
        <f>'Name Conversion '!E3</f>
        <v>DBS sp equity</v>
      </c>
      <c r="C6" t="s">
        <v>323</v>
      </c>
      <c r="D6" t="e">
        <f ca="1">_xll.BDP($C6,D$4)</f>
        <v>#NAME?</v>
      </c>
      <c r="E6" t="e">
        <f ca="1">_xll.BDP($C6,E$4)</f>
        <v>#NAME?</v>
      </c>
      <c r="F6" t="e">
        <f ca="1">_xll.BDP($C6,F$4)</f>
        <v>#NAME?</v>
      </c>
      <c r="G6">
        <f>'STI ETF '!H11</f>
        <v>9242</v>
      </c>
      <c r="H6" s="19" t="s">
        <v>11</v>
      </c>
      <c r="I6" s="19">
        <f t="shared" ref="I6:I34" si="0">IF(H6="SGD",1,J$2)</f>
        <v>1</v>
      </c>
      <c r="J6" s="19" t="e">
        <f t="shared" ref="J6:J34" ca="1" si="1">D6*I6</f>
        <v>#NAME?</v>
      </c>
      <c r="K6" s="19" t="e">
        <f t="shared" ref="K6:K34" ca="1" si="2">E6*$I6</f>
        <v>#NAME?</v>
      </c>
      <c r="L6" s="19" t="e">
        <f t="shared" ref="L6:L34" ca="1" si="3">F6*$I6</f>
        <v>#NAME?</v>
      </c>
      <c r="V6" s="144"/>
      <c r="W6" t="str">
        <f>'Name Conversion '!K4</f>
        <v>UOB sp equity</v>
      </c>
      <c r="X6" t="e">
        <f ca="1">_xll.BDP($W6,X$3)</f>
        <v>#NAME?</v>
      </c>
      <c r="Y6" t="e">
        <f ca="1">_xll.BDP($W6,Y$3)</f>
        <v>#NAME?</v>
      </c>
      <c r="Z6" t="e">
        <f ca="1">_xll.BDP($W6,Z$3)</f>
        <v>#NAME?</v>
      </c>
      <c r="AA6" s="146" t="str">
        <f>'SiMSCI '!E15</f>
        <v>1,178,741,101</v>
      </c>
    </row>
    <row r="7" spans="1:28" x14ac:dyDescent="0.3">
      <c r="A7" s="133" t="str">
        <f>'Name Conversion '!E4</f>
        <v>DFI sp equity</v>
      </c>
      <c r="B7" s="133"/>
      <c r="C7" s="133" t="s">
        <v>324</v>
      </c>
      <c r="D7" s="133" t="e">
        <f ca="1">_xll.BDP($C7,D$4)</f>
        <v>#NAME?</v>
      </c>
      <c r="E7" s="133" t="e">
        <f ca="1">_xll.BDP($C7,E$4)</f>
        <v>#NAME?</v>
      </c>
      <c r="F7" s="133" t="e">
        <f ca="1">_xll.BDP($C7,F$4)</f>
        <v>#NAME?</v>
      </c>
      <c r="G7" s="133">
        <f>'STI ETF '!H12</f>
        <v>1555</v>
      </c>
      <c r="H7" s="133" t="s">
        <v>179</v>
      </c>
      <c r="I7" s="19" t="e">
        <f t="shared" ca="1" si="0"/>
        <v>#NAME?</v>
      </c>
      <c r="J7" s="19" t="e">
        <f t="shared" ca="1" si="1"/>
        <v>#NAME?</v>
      </c>
      <c r="K7" s="19" t="e">
        <f t="shared" ca="1" si="2"/>
        <v>#NAME?</v>
      </c>
      <c r="L7" s="19" t="e">
        <f t="shared" ca="1" si="3"/>
        <v>#NAME?</v>
      </c>
      <c r="V7" s="144"/>
      <c r="W7" s="14" t="str">
        <f>'Name Conversion '!K5</f>
        <v>ST sp equity</v>
      </c>
      <c r="X7" s="14" t="e">
        <f ca="1">_xll.BDP($W7,X$3)</f>
        <v>#NAME?</v>
      </c>
      <c r="Y7" s="14" t="e">
        <f ca="1">_xll.BDP($W7,Y$3)</f>
        <v>#NAME?</v>
      </c>
      <c r="Z7" s="14" t="e">
        <f ca="1">_xll.BDP($W7,Z$3)</f>
        <v>#NAME?</v>
      </c>
      <c r="AA7" s="146" t="str">
        <f>'SiMSCI '!E16</f>
        <v>8,164,579,150</v>
      </c>
      <c r="AB7" s="14"/>
    </row>
    <row r="8" spans="1:28" x14ac:dyDescent="0.3">
      <c r="A8" t="str">
        <f>'Name Conversion '!E5</f>
        <v>CIT sp equity</v>
      </c>
      <c r="C8" t="s">
        <v>325</v>
      </c>
      <c r="D8" t="e">
        <f ca="1">_xll.BDP($C8,D$4)</f>
        <v>#NAME?</v>
      </c>
      <c r="E8" t="e">
        <f ca="1">_xll.BDP($C8,E$4)</f>
        <v>#NAME?</v>
      </c>
      <c r="F8" t="e">
        <f ca="1">_xll.BDP($C8,F$4)</f>
        <v>#NAME?</v>
      </c>
      <c r="G8">
        <f>'STI ETF '!H13</f>
        <v>2423</v>
      </c>
      <c r="H8" s="19" t="s">
        <v>11</v>
      </c>
      <c r="I8" s="19">
        <f t="shared" si="0"/>
        <v>1</v>
      </c>
      <c r="J8" s="19" t="e">
        <f t="shared" ca="1" si="1"/>
        <v>#NAME?</v>
      </c>
      <c r="K8" s="19" t="e">
        <f t="shared" ca="1" si="2"/>
        <v>#NAME?</v>
      </c>
      <c r="L8" s="19" t="e">
        <f t="shared" ca="1" si="3"/>
        <v>#NAME?</v>
      </c>
      <c r="V8" s="144"/>
      <c r="W8" t="str">
        <f>'Name Conversion '!K6</f>
        <v>WIL sp equity</v>
      </c>
      <c r="X8" t="e">
        <f ca="1">_xll.BDP($W8,X$3)</f>
        <v>#NAME?</v>
      </c>
      <c r="Y8" t="e">
        <f ca="1">_xll.BDP($W8,Y$3)</f>
        <v>#NAME?</v>
      </c>
      <c r="Z8" t="e">
        <f ca="1">_xll.BDP($W8,Z$3)</f>
        <v>#NAME?</v>
      </c>
      <c r="AA8" s="146" t="str">
        <f>'SiMSCI '!E17</f>
        <v>1,921,020,332</v>
      </c>
    </row>
    <row r="9" spans="1:28" x14ac:dyDescent="0.3">
      <c r="A9" t="str">
        <f>'Name Conversion '!E6</f>
        <v>JCNC sp equity</v>
      </c>
      <c r="C9" t="s">
        <v>326</v>
      </c>
      <c r="D9" t="e">
        <f ca="1">_xll.BDP($C9,D$4)</f>
        <v>#NAME?</v>
      </c>
      <c r="E9" t="e">
        <f ca="1">_xll.BDP($C9,E$4)</f>
        <v>#NAME?</v>
      </c>
      <c r="F9" t="e">
        <f ca="1">_xll.BDP($C9,F$4)</f>
        <v>#NAME?</v>
      </c>
      <c r="G9">
        <f>'STI ETF '!H14</f>
        <v>512</v>
      </c>
      <c r="H9" s="19" t="s">
        <v>11</v>
      </c>
      <c r="I9" s="19">
        <f t="shared" si="0"/>
        <v>1</v>
      </c>
      <c r="J9" s="19" t="e">
        <f t="shared" ca="1" si="1"/>
        <v>#NAME?</v>
      </c>
      <c r="K9" s="19" t="e">
        <f t="shared" ca="1" si="2"/>
        <v>#NAME?</v>
      </c>
      <c r="L9" s="19" t="e">
        <f t="shared" ca="1" si="3"/>
        <v>#NAME?</v>
      </c>
      <c r="U9" s="40"/>
      <c r="V9" s="144"/>
      <c r="W9" s="40" t="str">
        <f>'Name Conversion '!K7</f>
        <v>CICT sp equity</v>
      </c>
      <c r="X9" s="40" t="e">
        <f ca="1">_xll.BDP($W9,X$3)</f>
        <v>#NAME?</v>
      </c>
      <c r="Y9" s="40" t="e">
        <f ca="1">_xll.BDP($W9,Y$3)</f>
        <v>#NAME?</v>
      </c>
      <c r="Z9" s="40" t="e">
        <f ca="1">_xll.BDP($W9,Z$3)</f>
        <v>#NAME?</v>
      </c>
      <c r="AA9" s="147" t="str">
        <f>'SiMSCI '!E19</f>
        <v>4,529,492,881</v>
      </c>
    </row>
    <row r="10" spans="1:28" x14ac:dyDescent="0.3">
      <c r="A10" t="str">
        <f>'Name Conversion '!E7</f>
        <v>SATS sp equity</v>
      </c>
      <c r="C10" t="s">
        <v>327</v>
      </c>
      <c r="D10" t="e">
        <f ca="1">_xll.BDP($C10,D$4)</f>
        <v>#NAME?</v>
      </c>
      <c r="E10" t="e">
        <f ca="1">_xll.BDP($C10,E$4)</f>
        <v>#NAME?</v>
      </c>
      <c r="F10" t="e">
        <f ca="1">_xll.BDP($C10,F$4)</f>
        <v>#NAME?</v>
      </c>
      <c r="G10">
        <f>'STI ETF '!H15</f>
        <v>3282</v>
      </c>
      <c r="H10" s="19" t="s">
        <v>11</v>
      </c>
      <c r="I10" s="19">
        <f t="shared" si="0"/>
        <v>1</v>
      </c>
      <c r="J10" s="19" t="e">
        <f t="shared" ca="1" si="1"/>
        <v>#NAME?</v>
      </c>
      <c r="K10" s="19" t="e">
        <f t="shared" ca="1" si="2"/>
        <v>#NAME?</v>
      </c>
      <c r="L10" s="19" t="e">
        <f t="shared" ca="1" si="3"/>
        <v>#NAME?</v>
      </c>
      <c r="U10" s="40"/>
      <c r="V10" s="1"/>
      <c r="W10" s="40" t="str">
        <f>'Name Conversion '!K8</f>
        <v>AREIT sp equity</v>
      </c>
      <c r="X10" s="40" t="e">
        <f ca="1">_xll.BDP($W10,X$3)</f>
        <v>#NAME?</v>
      </c>
      <c r="Y10" s="40" t="e">
        <f ca="1">_xll.BDP($W10,Y$3)</f>
        <v>#NAME?</v>
      </c>
      <c r="Z10" s="40" t="e">
        <f ca="1">_xll.BDP($W10,Z$3)</f>
        <v>#NAME?</v>
      </c>
      <c r="AA10" s="147" t="str">
        <f>'SiMSCI '!E20</f>
        <v>3,214,849,721</v>
      </c>
    </row>
    <row r="11" spans="1:28" x14ac:dyDescent="0.3">
      <c r="A11" t="str">
        <f>'Name Conversion '!E8</f>
        <v>SGX sp equity</v>
      </c>
      <c r="C11" t="s">
        <v>328</v>
      </c>
      <c r="D11" t="e">
        <f ca="1">_xll.BDP($C11,D$4)</f>
        <v>#NAME?</v>
      </c>
      <c r="E11" t="e">
        <f ca="1">_xll.BDP($C11,E$4)</f>
        <v>#NAME?</v>
      </c>
      <c r="F11" t="e">
        <f ca="1">_xll.BDP($C11,F$4)</f>
        <v>#NAME?</v>
      </c>
      <c r="G11">
        <f>'STI ETF '!H16</f>
        <v>4249</v>
      </c>
      <c r="H11" s="19" t="s">
        <v>11</v>
      </c>
      <c r="I11" s="19">
        <f t="shared" si="0"/>
        <v>1</v>
      </c>
      <c r="J11" s="19" t="e">
        <f t="shared" ca="1" si="1"/>
        <v>#NAME?</v>
      </c>
      <c r="K11" s="19" t="e">
        <f t="shared" ca="1" si="2"/>
        <v>#NAME?</v>
      </c>
      <c r="L11" s="19" t="e">
        <f t="shared" ca="1" si="3"/>
        <v>#NAME?</v>
      </c>
      <c r="U11" s="40"/>
      <c r="V11" s="1"/>
      <c r="W11" s="40" t="str">
        <f>'Name Conversion '!K9</f>
        <v>CAPL sp equity</v>
      </c>
      <c r="X11" s="40" t="e">
        <f ca="1">_xll.BDP($W11,X$3)</f>
        <v>#NAME?</v>
      </c>
      <c r="Y11" s="40" t="e">
        <f ca="1">_xll.BDP($W11,Y$3)</f>
        <v>#NAME?</v>
      </c>
      <c r="Z11" s="40" t="e">
        <f ca="1">_xll.BDP($W11,Z$3)</f>
        <v>#NAME?</v>
      </c>
      <c r="AA11" s="147" t="str">
        <f>'SiMSCI '!E18</f>
        <v>2,638,495,841</v>
      </c>
    </row>
    <row r="12" spans="1:28" x14ac:dyDescent="0.3">
      <c r="A12" t="str">
        <f>'Name Conversion '!E9</f>
        <v>CAPL sp equity</v>
      </c>
      <c r="C12" t="s">
        <v>329</v>
      </c>
      <c r="D12" t="e">
        <f ca="1">_xll.BDP($C12,D$4)</f>
        <v>#NAME?</v>
      </c>
      <c r="E12" t="e">
        <f ca="1">_xll.BDP($C12,E$4)</f>
        <v>#NAME?</v>
      </c>
      <c r="F12" t="e">
        <f ca="1">_xll.BDP($C12,F$4)</f>
        <v>#NAME?</v>
      </c>
      <c r="G12">
        <f>'STI ETF '!H17</f>
        <v>13313</v>
      </c>
      <c r="H12" s="19" t="s">
        <v>11</v>
      </c>
      <c r="I12" s="19">
        <f t="shared" si="0"/>
        <v>1</v>
      </c>
      <c r="J12" s="19" t="e">
        <f t="shared" ca="1" si="1"/>
        <v>#NAME?</v>
      </c>
      <c r="K12" s="19" t="e">
        <f t="shared" ca="1" si="2"/>
        <v>#NAME?</v>
      </c>
      <c r="L12" s="19" t="e">
        <f t="shared" ca="1" si="3"/>
        <v>#NAME?</v>
      </c>
      <c r="U12" s="40"/>
      <c r="V12" s="1"/>
      <c r="W12" s="40" t="str">
        <f>'Name Conversion '!K10</f>
        <v>KPL sp equity</v>
      </c>
      <c r="X12" s="40" t="e">
        <f ca="1">_xll.BDP($W12,X$3)</f>
        <v>#NAME?</v>
      </c>
      <c r="Y12" s="40" t="e">
        <f ca="1">_xll.BDP($W12,Y$3)</f>
        <v>#NAME?</v>
      </c>
      <c r="Z12" s="40" t="e">
        <f ca="1">_xll.BDP($W12,Z$3)</f>
        <v>#NAME?</v>
      </c>
      <c r="AA12" s="147" t="str">
        <f>'SiMSCI '!E21</f>
        <v>1,456,446,214</v>
      </c>
    </row>
    <row r="13" spans="1:28" x14ac:dyDescent="0.3">
      <c r="A13" t="str">
        <f>'Name Conversion '!E10</f>
        <v>CICT sp equity</v>
      </c>
      <c r="C13" t="s">
        <v>330</v>
      </c>
      <c r="D13" t="e">
        <f ca="1">_xll.BDP($C13,D$4)</f>
        <v>#NAME?</v>
      </c>
      <c r="E13" t="e">
        <f ca="1">_xll.BDP($C13,E$4)</f>
        <v>#NAME?</v>
      </c>
      <c r="F13" t="e">
        <f ca="1">_xll.BDP($C13,F$4)</f>
        <v>#NAME?</v>
      </c>
      <c r="G13">
        <f>'STI ETF '!H18</f>
        <v>22567</v>
      </c>
      <c r="H13" s="19" t="s">
        <v>11</v>
      </c>
      <c r="I13" s="19">
        <f t="shared" si="0"/>
        <v>1</v>
      </c>
      <c r="J13" s="19" t="e">
        <f t="shared" ca="1" si="1"/>
        <v>#NAME?</v>
      </c>
      <c r="K13" s="19" t="e">
        <f t="shared" ca="1" si="2"/>
        <v>#NAME?</v>
      </c>
      <c r="L13" s="19" t="e">
        <f t="shared" ca="1" si="3"/>
        <v>#NAME?</v>
      </c>
      <c r="U13" s="40"/>
      <c r="V13" s="1"/>
      <c r="W13" s="40" t="str">
        <f>'Name Conversion '!K11</f>
        <v>KEP sp equity</v>
      </c>
      <c r="X13" s="40" t="e">
        <f ca="1">_xll.BDP($W13,X$3)</f>
        <v>#NAME?</v>
      </c>
      <c r="Y13" s="40" t="e">
        <f ca="1">_xll.BDP($W13,Y$3)</f>
        <v>#NAME?</v>
      </c>
      <c r="Z13" s="40" t="e">
        <f ca="1">_xll.BDP($W13,Z$3)</f>
        <v>#NAME?</v>
      </c>
      <c r="AA13" s="40" t="str">
        <f>'SiMSCI '!E22</f>
        <v>803,731,800</v>
      </c>
    </row>
    <row r="14" spans="1:28" x14ac:dyDescent="0.3">
      <c r="A14" s="133" t="str">
        <f>'Name Conversion '!E11</f>
        <v>HKL sp equity</v>
      </c>
      <c r="B14" s="133"/>
      <c r="C14" s="133" t="s">
        <v>331</v>
      </c>
      <c r="D14" s="133" t="e">
        <f ca="1">_xll.BDP($C14,D$4)</f>
        <v>#NAME?</v>
      </c>
      <c r="E14" s="133" t="e">
        <f ca="1">_xll.BDP($C14,E$4)</f>
        <v>#NAME?</v>
      </c>
      <c r="F14" s="133" t="e">
        <f ca="1">_xll.BDP($C14,F$4)</f>
        <v>#NAME?</v>
      </c>
      <c r="G14" s="133">
        <f>'STI ETF '!H19</f>
        <v>5997</v>
      </c>
      <c r="H14" s="133" t="s">
        <v>179</v>
      </c>
      <c r="I14" s="19" t="e">
        <f ca="1">IF(H14="SGD",1,J$2)</f>
        <v>#NAME?</v>
      </c>
      <c r="J14" s="19" t="e">
        <f t="shared" ca="1" si="1"/>
        <v>#NAME?</v>
      </c>
      <c r="K14" s="19" t="e">
        <f t="shared" ca="1" si="2"/>
        <v>#NAME?</v>
      </c>
      <c r="L14" s="19" t="e">
        <f t="shared" ca="1" si="3"/>
        <v>#NAME?</v>
      </c>
      <c r="U14" s="40"/>
      <c r="V14" s="1"/>
      <c r="W14" s="40" t="str">
        <f>'Name Conversion '!K12</f>
        <v>SIA sp equity</v>
      </c>
      <c r="X14" s="40" t="e">
        <f ca="1">_xll.BDP($W14,X$3)</f>
        <v>#NAME?</v>
      </c>
      <c r="Y14" s="40" t="e">
        <f ca="1">_xll.BDP($W14,Y$3)</f>
        <v>#NAME?</v>
      </c>
      <c r="Z14" s="40" t="e">
        <f ca="1">_xll.BDP($W14,Z$3)</f>
        <v>#NAME?</v>
      </c>
      <c r="AA14" s="40" t="str">
        <f>'SiMSCI '!E23</f>
        <v>1,339,894,577</v>
      </c>
      <c r="AB14" s="14"/>
    </row>
    <row r="15" spans="1:28" x14ac:dyDescent="0.3">
      <c r="A15" s="133" t="str">
        <f>'Name Conversion '!E12</f>
        <v>JM sp equity</v>
      </c>
      <c r="B15" s="133"/>
      <c r="C15" s="133" t="s">
        <v>332</v>
      </c>
      <c r="D15" s="133" t="e">
        <f ca="1">_xll.BDP($C15,D$4)</f>
        <v>#NAME?</v>
      </c>
      <c r="E15" s="133" t="e">
        <f ca="1">_xll.BDP($C15,E$4)</f>
        <v>#NAME?</v>
      </c>
      <c r="F15" s="133" t="e">
        <f ca="1">_xll.BDP($C15,F$4)</f>
        <v>#NAME?</v>
      </c>
      <c r="G15" s="133">
        <f>'STI ETF '!H20</f>
        <v>1066</v>
      </c>
      <c r="H15" s="133" t="s">
        <v>179</v>
      </c>
      <c r="I15" s="19" t="e">
        <f t="shared" ca="1" si="0"/>
        <v>#NAME?</v>
      </c>
      <c r="J15" s="19" t="e">
        <f t="shared" ca="1" si="1"/>
        <v>#NAME?</v>
      </c>
      <c r="K15" s="19" t="e">
        <f t="shared" ca="1" si="2"/>
        <v>#NAME?</v>
      </c>
      <c r="L15" s="19" t="e">
        <f t="shared" ca="1" si="3"/>
        <v>#NAME?</v>
      </c>
      <c r="U15" s="40"/>
      <c r="V15" s="1"/>
      <c r="W15" s="40" t="str">
        <f>'Name Conversion '!K13</f>
        <v>STE sp equity</v>
      </c>
      <c r="X15" s="40" t="e">
        <f ca="1">_xll.BDP($W15,X$3)</f>
        <v>#NAME?</v>
      </c>
      <c r="Y15" s="40" t="e">
        <f ca="1">_xll.BDP($W15,Y$3)</f>
        <v>#NAME?</v>
      </c>
      <c r="Z15" s="40" t="e">
        <f ca="1">_xll.BDP($W15,Z$3)</f>
        <v>#NAME?</v>
      </c>
      <c r="AA15" s="147" t="str">
        <f>'SiMSCI '!E24</f>
        <v>1,561,247,598</v>
      </c>
    </row>
    <row r="16" spans="1:28" x14ac:dyDescent="0.3">
      <c r="A16" s="133" t="str">
        <f>'Name Conversion '!E13</f>
        <v>JS sp equity</v>
      </c>
      <c r="B16" s="133"/>
      <c r="C16" s="133" t="s">
        <v>333</v>
      </c>
      <c r="D16" s="133" t="e">
        <f ca="1">_xll.BDP($C16,D$4)</f>
        <v>#NAME?</v>
      </c>
      <c r="E16" s="133" t="e">
        <f ca="1">_xll.BDP($C16,E$4)</f>
        <v>#NAME?</v>
      </c>
      <c r="F16" s="133" t="e">
        <f ca="1">_xll.BDP($C16,F$4)</f>
        <v>#NAME?</v>
      </c>
      <c r="G16" s="133">
        <f>'STI ETF '!H21</f>
        <v>939</v>
      </c>
      <c r="H16" s="133" t="s">
        <v>179</v>
      </c>
      <c r="I16" s="19" t="e">
        <f t="shared" ca="1" si="0"/>
        <v>#NAME?</v>
      </c>
      <c r="J16" s="19" t="e">
        <f t="shared" ca="1" si="1"/>
        <v>#NAME?</v>
      </c>
      <c r="K16" s="19" t="e">
        <f t="shared" ca="1" si="2"/>
        <v>#NAME?</v>
      </c>
      <c r="L16" s="19" t="e">
        <f t="shared" ca="1" si="3"/>
        <v>#NAME?</v>
      </c>
      <c r="U16" s="40"/>
      <c r="V16" s="1"/>
      <c r="W16" s="40" t="str">
        <f>'Name Conversion '!K14</f>
        <v>GENS sp equity</v>
      </c>
      <c r="X16" s="40" t="e">
        <f ca="1">_xll.BDP($W16,X$3)</f>
        <v>#NAME?</v>
      </c>
      <c r="Y16" s="40" t="e">
        <f ca="1">_xll.BDP($W16,Y$3)</f>
        <v>#NAME?</v>
      </c>
      <c r="Z16" s="40" t="e">
        <f ca="1">_xll.BDP($W16,Z$3)</f>
        <v>#NAME?</v>
      </c>
      <c r="AA16" s="147" t="str">
        <f>'SiMSCI '!E26</f>
        <v>276,417,298</v>
      </c>
    </row>
    <row r="17" spans="1:28" x14ac:dyDescent="0.3">
      <c r="A17" t="str">
        <f>'Name Conversion '!E14</f>
        <v>AREIT sp equity</v>
      </c>
      <c r="C17" t="s">
        <v>334</v>
      </c>
      <c r="D17" t="e">
        <f ca="1">_xll.BDP($C17,D$4)</f>
        <v>#NAME?</v>
      </c>
      <c r="E17" t="e">
        <f ca="1">_xll.BDP($C17,E$4)</f>
        <v>#NAME?</v>
      </c>
      <c r="F17" t="e">
        <f ca="1">_xll.BDP($C17,F$4)</f>
        <v>#NAME?</v>
      </c>
      <c r="G17">
        <f>'STI ETF '!H22</f>
        <v>16885</v>
      </c>
      <c r="H17" s="19" t="s">
        <v>11</v>
      </c>
      <c r="I17" s="19">
        <f t="shared" si="0"/>
        <v>1</v>
      </c>
      <c r="J17" s="19" t="e">
        <f t="shared" ca="1" si="1"/>
        <v>#NAME?</v>
      </c>
      <c r="K17" s="19" t="e">
        <f t="shared" ca="1" si="2"/>
        <v>#NAME?</v>
      </c>
      <c r="L17" s="19" t="e">
        <f t="shared" ca="1" si="3"/>
        <v>#NAME?</v>
      </c>
      <c r="U17" s="40"/>
      <c r="V17" s="1"/>
      <c r="W17" s="40" t="str">
        <f>'Name Conversion '!K15</f>
        <v>VMS sp equity</v>
      </c>
      <c r="X17" s="40" t="e">
        <f ca="1">_xll.BDP($W17,X$3)</f>
        <v>#NAME?</v>
      </c>
      <c r="Y17" s="40" t="e">
        <f ca="1">_xll.BDP($W17,Y$3)</f>
        <v>#NAME?</v>
      </c>
      <c r="Z17" s="40" t="e">
        <f ca="1">_xll.BDP($W17,Z$3)</f>
        <v>#NAME?</v>
      </c>
      <c r="AA17" s="147" t="str">
        <f>'SiMSCI '!E27</f>
        <v>6,047,013,412</v>
      </c>
      <c r="AB17" s="14"/>
    </row>
    <row r="18" spans="1:28" x14ac:dyDescent="0.3">
      <c r="A18" t="str">
        <f>'Name Conversion '!E15</f>
        <v>CD sp equity</v>
      </c>
      <c r="C18" t="s">
        <v>335</v>
      </c>
      <c r="D18" t="e">
        <f ca="1">_xll.BDP($C18,D$4)</f>
        <v>#NAME?</v>
      </c>
      <c r="E18" t="e">
        <f ca="1">_xll.BDP($C18,E$4)</f>
        <v>#NAME?</v>
      </c>
      <c r="F18" t="e">
        <f ca="1">_xll.BDP($C18,F$4)</f>
        <v>#NAME?</v>
      </c>
      <c r="G18">
        <f>'STI ETF '!H23</f>
        <v>10614</v>
      </c>
      <c r="H18" s="19" t="s">
        <v>11</v>
      </c>
      <c r="I18" s="19">
        <f t="shared" si="0"/>
        <v>1</v>
      </c>
      <c r="J18" s="19" t="e">
        <f t="shared" ca="1" si="1"/>
        <v>#NAME?</v>
      </c>
      <c r="K18" s="19" t="e">
        <f t="shared" ca="1" si="2"/>
        <v>#NAME?</v>
      </c>
      <c r="L18" s="19" t="e">
        <f t="shared" ca="1" si="3"/>
        <v>#NAME?</v>
      </c>
      <c r="U18" s="40"/>
      <c r="V18" s="1"/>
      <c r="W18" s="40" t="str">
        <f>'Name Conversion '!K16</f>
        <v>MLT sp equity</v>
      </c>
      <c r="X18" s="40" t="e">
        <f ca="1">_xll.BDP($W18,X$3)</f>
        <v>#NAME?</v>
      </c>
      <c r="Y18" s="40" t="e">
        <f ca="1">_xll.BDP($W18,Y$3)</f>
        <v>#NAME?</v>
      </c>
      <c r="Z18" s="40" t="e">
        <f ca="1">_xll.BDP($W18,Z$3)</f>
        <v>#NAME?</v>
      </c>
      <c r="AA18" s="147" t="str">
        <f>'SiMSCI '!E28</f>
        <v>2,154,820,862</v>
      </c>
      <c r="AB18" s="14"/>
    </row>
    <row r="19" spans="1:28" x14ac:dyDescent="0.3">
      <c r="A19" t="str">
        <f>'Name Conversion '!E16</f>
        <v>SIA sp equity</v>
      </c>
      <c r="C19" t="s">
        <v>336</v>
      </c>
      <c r="D19" t="e">
        <f ca="1">_xll.BDP($C19,D$4)</f>
        <v>#NAME?</v>
      </c>
      <c r="E19" t="e">
        <f ca="1">_xll.BDP($C19,E$4)</f>
        <v>#NAME?</v>
      </c>
      <c r="F19" t="e">
        <f ca="1">_xll.BDP($C19,F$4)</f>
        <v>#NAME?</v>
      </c>
      <c r="G19">
        <f>'STI ETF '!H24</f>
        <v>6594</v>
      </c>
      <c r="H19" s="19" t="s">
        <v>11</v>
      </c>
      <c r="I19" s="19">
        <f t="shared" si="0"/>
        <v>1</v>
      </c>
      <c r="J19" s="19" t="e">
        <f t="shared" ca="1" si="1"/>
        <v>#NAME?</v>
      </c>
      <c r="K19" s="19" t="e">
        <f t="shared" ca="1" si="2"/>
        <v>#NAME?</v>
      </c>
      <c r="L19" s="19" t="e">
        <f t="shared" ca="1" si="3"/>
        <v>#NAME?</v>
      </c>
      <c r="U19" s="40"/>
      <c r="V19" s="1"/>
      <c r="W19" s="40" t="str">
        <f>'Name Conversion '!K17</f>
        <v>MCT sp equity</v>
      </c>
      <c r="X19" s="40" t="e">
        <f ca="1">_xll.BDP($W19,X$3)</f>
        <v>#NAME?</v>
      </c>
      <c r="Y19" s="40" t="e">
        <f ca="1">_xll.BDP($W19,Y$3)</f>
        <v>#NAME?</v>
      </c>
      <c r="Z19" s="40" t="e">
        <f ca="1">_xll.BDP($W19,Z$3)</f>
        <v>#NAME?</v>
      </c>
      <c r="AA19" s="147" t="str">
        <f>'SiMSCI '!E25</f>
        <v>2,892,704,287</v>
      </c>
    </row>
    <row r="20" spans="1:28" x14ac:dyDescent="0.3">
      <c r="A20" t="str">
        <f>'Name Conversion '!E17</f>
        <v>UOB sp equity</v>
      </c>
      <c r="C20" t="s">
        <v>337</v>
      </c>
      <c r="D20" t="e">
        <f ca="1">_xll.BDP($C20,D$4)</f>
        <v>#NAME?</v>
      </c>
      <c r="E20" t="e">
        <f ca="1">_xll.BDP($C20,E$4)</f>
        <v>#NAME?</v>
      </c>
      <c r="F20" t="e">
        <f ca="1">_xll.BDP($C20,F$4)</f>
        <v>#NAME?</v>
      </c>
      <c r="G20">
        <f>'STI ETF '!H25</f>
        <v>6648</v>
      </c>
      <c r="H20" s="19" t="s">
        <v>11</v>
      </c>
      <c r="I20" s="19">
        <f t="shared" si="0"/>
        <v>1</v>
      </c>
      <c r="J20" s="19" t="e">
        <f t="shared" ca="1" si="1"/>
        <v>#NAME?</v>
      </c>
      <c r="K20" s="19" t="e">
        <f t="shared" ca="1" si="2"/>
        <v>#NAME?</v>
      </c>
      <c r="L20" s="19" t="e">
        <f t="shared" ca="1" si="3"/>
        <v>#NAME?</v>
      </c>
      <c r="U20" s="40"/>
      <c r="V20" s="1"/>
      <c r="W20" s="40" t="str">
        <f>'Name Conversion '!K18</f>
        <v>UOL sp equity</v>
      </c>
      <c r="X20" s="40" t="e">
        <f ca="1">_xll.BDP($W20,X$3)</f>
        <v>#NAME?</v>
      </c>
      <c r="Y20" s="40" t="e">
        <f ca="1">_xll.BDP($W20,Y$3)</f>
        <v>#NAME?</v>
      </c>
      <c r="Z20" s="40" t="e">
        <f ca="1">_xll.BDP($W20,Z$3)</f>
        <v>#NAME?</v>
      </c>
      <c r="AA20" s="147" t="str">
        <f>'SiMSCI '!E30</f>
        <v>464,054,928</v>
      </c>
    </row>
    <row r="21" spans="1:28" x14ac:dyDescent="0.3">
      <c r="A21" t="str">
        <f>'Name Conversion '!E18</f>
        <v>UOL sp equity</v>
      </c>
      <c r="C21" t="s">
        <v>338</v>
      </c>
      <c r="D21" t="e">
        <f ca="1">_xll.BDP($C21,D$4)</f>
        <v>#NAME?</v>
      </c>
      <c r="E21" t="e">
        <f ca="1">_xll.BDP($C21,E$4)</f>
        <v>#NAME?</v>
      </c>
      <c r="F21" t="e">
        <f ca="1">_xll.BDP($C21,F$4)</f>
        <v>#NAME?</v>
      </c>
      <c r="G21">
        <f>'STI ETF '!H26</f>
        <v>2547</v>
      </c>
      <c r="H21" s="19" t="s">
        <v>11</v>
      </c>
      <c r="I21" s="19">
        <f t="shared" si="0"/>
        <v>1</v>
      </c>
      <c r="J21" s="19" t="e">
        <f t="shared" ca="1" si="1"/>
        <v>#NAME?</v>
      </c>
      <c r="K21" s="19" t="e">
        <f t="shared" ca="1" si="2"/>
        <v>#NAME?</v>
      </c>
      <c r="L21" s="19" t="e">
        <f t="shared" ca="1" si="3"/>
        <v>#NAME?</v>
      </c>
      <c r="U21" s="40"/>
      <c r="V21" s="1"/>
      <c r="W21" s="40" t="str">
        <f>'Name Conversion '!K19</f>
        <v>CIT sp equity</v>
      </c>
      <c r="X21" s="40" t="e">
        <f ca="1">_xll.BDP($W21,X$3)</f>
        <v>#NAME?</v>
      </c>
      <c r="Y21" s="40" t="e">
        <f ca="1">_xll.BDP($W21,Y$3)</f>
        <v>#NAME?</v>
      </c>
      <c r="Z21" s="40" t="e">
        <f ca="1">_xll.BDP($W21,Z$3)</f>
        <v>#NAME?</v>
      </c>
      <c r="AA21" s="147" t="str">
        <f>'SiMSCI '!E29</f>
        <v>454,650,500</v>
      </c>
    </row>
    <row r="22" spans="1:28" x14ac:dyDescent="0.3">
      <c r="A22" t="str">
        <f>'Name Conversion '!E19</f>
        <v>VMS sp equity</v>
      </c>
      <c r="C22" t="s">
        <v>339</v>
      </c>
      <c r="D22" t="e">
        <f ca="1">_xll.BDP($C22,D$4)</f>
        <v>#NAME?</v>
      </c>
      <c r="E22" t="e">
        <f ca="1">_xll.BDP($C22,E$4)</f>
        <v>#NAME?</v>
      </c>
      <c r="F22" t="e">
        <f ca="1">_xll.BDP($C22,F$4)</f>
        <v>#NAME?</v>
      </c>
      <c r="G22">
        <f>'STI ETF '!H27</f>
        <v>1345</v>
      </c>
      <c r="H22" s="19" t="s">
        <v>11</v>
      </c>
      <c r="I22" s="19">
        <f t="shared" si="0"/>
        <v>1</v>
      </c>
      <c r="J22" s="19" t="e">
        <f t="shared" ca="1" si="1"/>
        <v>#NAME?</v>
      </c>
      <c r="K22" s="19" t="e">
        <f t="shared" ca="1" si="2"/>
        <v>#NAME?</v>
      </c>
      <c r="L22" s="19" t="e">
        <f t="shared" ca="1" si="3"/>
        <v>#NAME?</v>
      </c>
      <c r="U22" s="40"/>
      <c r="V22" s="1"/>
      <c r="W22" s="40" t="str">
        <f>'Name Conversion '!K20</f>
        <v>SUN sp equity</v>
      </c>
      <c r="X22" s="40" t="e">
        <f ca="1">_xll.BDP($W22,X$3)</f>
        <v>#NAME?</v>
      </c>
      <c r="Y22" s="40" t="e">
        <f ca="1">_xll.BDP($W22,Y$3)</f>
        <v>#NAME?</v>
      </c>
      <c r="Z22" s="40" t="e">
        <f ca="1">_xll.BDP($W22,Z$3)</f>
        <v>#NAME?</v>
      </c>
      <c r="AA22" s="147" t="str">
        <f>'SiMSCI '!E31</f>
        <v>1,977,706,058</v>
      </c>
    </row>
    <row r="23" spans="1:28" x14ac:dyDescent="0.3">
      <c r="A23" t="str">
        <f>'Name Conversion '!E20</f>
        <v>GENS sp equity</v>
      </c>
      <c r="C23" t="s">
        <v>340</v>
      </c>
      <c r="D23" t="e">
        <f ca="1">_xll.BDP($C23,D$4)</f>
        <v>#NAME?</v>
      </c>
      <c r="E23" t="e">
        <f ca="1">_xll.BDP($C23,E$4)</f>
        <v>#NAME?</v>
      </c>
      <c r="F23" t="e">
        <f ca="1">_xll.BDP($C23,F$4)</f>
        <v>#NAME?</v>
      </c>
      <c r="G23">
        <f>'STI ETF '!H28</f>
        <v>29972</v>
      </c>
      <c r="H23" s="19" t="s">
        <v>11</v>
      </c>
      <c r="I23" s="19">
        <f t="shared" si="0"/>
        <v>1</v>
      </c>
      <c r="J23" s="19" t="e">
        <f t="shared" ca="1" si="1"/>
        <v>#NAME?</v>
      </c>
      <c r="K23" s="19" t="e">
        <f t="shared" ca="1" si="2"/>
        <v>#NAME?</v>
      </c>
      <c r="L23" s="19" t="e">
        <f t="shared" ca="1" si="3"/>
        <v>#NAME?</v>
      </c>
    </row>
    <row r="24" spans="1:28" x14ac:dyDescent="0.3">
      <c r="A24" t="str">
        <f>'Name Conversion '!E21</f>
        <v>MINT sp equity</v>
      </c>
      <c r="C24" t="s">
        <v>341</v>
      </c>
      <c r="D24" t="e">
        <f ca="1">_xll.BDP($C24,D$4)</f>
        <v>#NAME?</v>
      </c>
      <c r="E24" t="e">
        <f ca="1">_xll.BDP($C24,E$4)</f>
        <v>#NAME?</v>
      </c>
      <c r="F24" t="e">
        <f ca="1">_xll.BDP($C24,F$4)</f>
        <v>#NAME?</v>
      </c>
      <c r="G24">
        <f>'STI ETF '!H29</f>
        <v>8464</v>
      </c>
      <c r="H24" s="19" t="s">
        <v>11</v>
      </c>
      <c r="I24" s="19">
        <f t="shared" si="0"/>
        <v>1</v>
      </c>
      <c r="J24" s="19" t="e">
        <f t="shared" ca="1" si="1"/>
        <v>#NAME?</v>
      </c>
      <c r="K24" s="19" t="e">
        <f t="shared" ca="1" si="2"/>
        <v>#NAME?</v>
      </c>
      <c r="L24" s="19" t="e">
        <f t="shared" ca="1" si="3"/>
        <v>#NAME?</v>
      </c>
    </row>
    <row r="25" spans="1:28" x14ac:dyDescent="0.3">
      <c r="A25" t="str">
        <f>'Name Conversion '!E22</f>
        <v>MCT sp equity</v>
      </c>
      <c r="C25" t="s">
        <v>342</v>
      </c>
      <c r="D25" t="e">
        <f ca="1">_xll.BDP($C25,D$4)</f>
        <v>#NAME?</v>
      </c>
      <c r="E25" t="e">
        <f ca="1">_xll.BDP($C25,E$4)</f>
        <v>#NAME?</v>
      </c>
      <c r="F25" t="e">
        <f ca="1">_xll.BDP($C25,F$4)</f>
        <v>#NAME?</v>
      </c>
      <c r="G25">
        <f>'STI ETF '!H30</f>
        <v>11325</v>
      </c>
      <c r="H25" s="19" t="s">
        <v>11</v>
      </c>
      <c r="I25" s="19">
        <f t="shared" si="0"/>
        <v>1</v>
      </c>
      <c r="J25" s="19" t="e">
        <f t="shared" ca="1" si="1"/>
        <v>#NAME?</v>
      </c>
      <c r="K25" s="19" t="e">
        <f t="shared" ca="1" si="2"/>
        <v>#NAME?</v>
      </c>
      <c r="L25" s="19" t="e">
        <f t="shared" ca="1" si="3"/>
        <v>#NAME?</v>
      </c>
    </row>
    <row r="26" spans="1:28" x14ac:dyDescent="0.3">
      <c r="A26" t="str">
        <f>'Name Conversion '!E23</f>
        <v>KDCREIT sp equity</v>
      </c>
      <c r="C26" t="s">
        <v>343</v>
      </c>
      <c r="D26" t="e">
        <f ca="1">_xll.BDP($C26,D$4)</f>
        <v>#NAME?</v>
      </c>
      <c r="E26" t="e">
        <f ca="1">_xll.BDP($C26,E$4)</f>
        <v>#NAME?</v>
      </c>
      <c r="F26" t="e">
        <f ca="1">_xll.BDP($C26,F$4)</f>
        <v>#NAME?</v>
      </c>
      <c r="G26">
        <f>'STI ETF '!H31</f>
        <v>6276</v>
      </c>
      <c r="H26" s="19" t="s">
        <v>11</v>
      </c>
      <c r="I26" s="19">
        <f t="shared" si="0"/>
        <v>1</v>
      </c>
      <c r="J26" s="19" t="e">
        <f t="shared" ca="1" si="1"/>
        <v>#NAME?</v>
      </c>
      <c r="K26" s="19" t="e">
        <f t="shared" ca="1" si="2"/>
        <v>#NAME?</v>
      </c>
      <c r="L26" s="19" t="e">
        <f t="shared" ca="1" si="3"/>
        <v>#NAME?</v>
      </c>
    </row>
    <row r="27" spans="1:28" x14ac:dyDescent="0.3">
      <c r="A27" t="str">
        <f>'Name Conversion '!E24</f>
        <v>ST sp equity</v>
      </c>
      <c r="C27" t="s">
        <v>344</v>
      </c>
      <c r="D27" t="e">
        <f ca="1">_xll.BDP($C27,D$4)</f>
        <v>#NAME?</v>
      </c>
      <c r="E27" t="e">
        <f ca="1">_xll.BDP($C27,E$4)</f>
        <v>#NAME?</v>
      </c>
      <c r="F27" t="e">
        <f ca="1">_xll.BDP($C27,F$4)</f>
        <v>#NAME?</v>
      </c>
      <c r="G27">
        <f>'STI ETF '!H32</f>
        <v>38920</v>
      </c>
      <c r="H27" s="19" t="s">
        <v>11</v>
      </c>
      <c r="I27" s="19">
        <f t="shared" si="0"/>
        <v>1</v>
      </c>
      <c r="J27" s="19" t="e">
        <f t="shared" ca="1" si="1"/>
        <v>#NAME?</v>
      </c>
      <c r="K27" s="19" t="e">
        <f t="shared" ca="1" si="2"/>
        <v>#NAME?</v>
      </c>
      <c r="L27" s="19" t="e">
        <f t="shared" ca="1" si="3"/>
        <v>#NAME?</v>
      </c>
    </row>
    <row r="28" spans="1:28" x14ac:dyDescent="0.3">
      <c r="A28" t="str">
        <f>'Name Conversion '!E25</f>
        <v>SCI sp equity</v>
      </c>
      <c r="C28" t="s">
        <v>345</v>
      </c>
      <c r="D28" t="e">
        <f ca="1">_xll.BDP($C28,D$4)</f>
        <v>#NAME?</v>
      </c>
      <c r="E28" t="e">
        <f ca="1">_xll.BDP($C28,E$4)</f>
        <v>#NAME?</v>
      </c>
      <c r="F28" t="e">
        <f ca="1">_xll.BDP($C28,F$4)</f>
        <v>#NAME?</v>
      </c>
      <c r="G28">
        <f>'STI ETF '!H33</f>
        <v>4699</v>
      </c>
      <c r="H28" s="19" t="s">
        <v>11</v>
      </c>
      <c r="I28" s="19">
        <f t="shared" si="0"/>
        <v>1</v>
      </c>
      <c r="J28" s="19" t="e">
        <f t="shared" ca="1" si="1"/>
        <v>#NAME?</v>
      </c>
      <c r="K28" s="19" t="e">
        <f t="shared" ca="1" si="2"/>
        <v>#NAME?</v>
      </c>
      <c r="L28" s="19" t="e">
        <f t="shared" ca="1" si="3"/>
        <v>#NAME?</v>
      </c>
    </row>
    <row r="29" spans="1:28" x14ac:dyDescent="0.3">
      <c r="A29" t="str">
        <f>'Name Conversion '!E26</f>
        <v>MLT sp equity</v>
      </c>
      <c r="C29" t="s">
        <v>346</v>
      </c>
      <c r="D29" t="e">
        <f ca="1">_xll.BDP($C29,D$4)</f>
        <v>#NAME?</v>
      </c>
      <c r="E29" t="e">
        <f ca="1">_xll.BDP($C29,E$4)</f>
        <v>#NAME?</v>
      </c>
      <c r="F29" t="e">
        <f ca="1">_xll.BDP($C29,F$4)</f>
        <v>#NAME?</v>
      </c>
      <c r="G29">
        <f>'STI ETF '!H34</f>
        <v>14842</v>
      </c>
      <c r="H29" s="19" t="s">
        <v>11</v>
      </c>
      <c r="I29" s="19">
        <f t="shared" si="0"/>
        <v>1</v>
      </c>
      <c r="J29" s="19" t="e">
        <f t="shared" ca="1" si="1"/>
        <v>#NAME?</v>
      </c>
      <c r="K29" s="19" t="e">
        <f t="shared" ca="1" si="2"/>
        <v>#NAME?</v>
      </c>
      <c r="L29" s="19" t="e">
        <f t="shared" ca="1" si="3"/>
        <v>#NAME?</v>
      </c>
    </row>
    <row r="30" spans="1:28" x14ac:dyDescent="0.3">
      <c r="A30" t="str">
        <f>'Name Conversion '!E27</f>
        <v>OCBC sp equity</v>
      </c>
      <c r="C30" t="s">
        <v>347</v>
      </c>
      <c r="D30" t="e">
        <f ca="1">_xll.BDP($C30,D$4)</f>
        <v>#NAME?</v>
      </c>
      <c r="E30" t="e">
        <f ca="1">_xll.BDP($C30,E$4)</f>
        <v>#NAME?</v>
      </c>
      <c r="F30" t="e">
        <f ca="1">_xll.BDP($C30,F$4)</f>
        <v>#NAME?</v>
      </c>
      <c r="G30">
        <f>'STI ETF '!H35</f>
        <v>18095</v>
      </c>
      <c r="H30" s="19" t="s">
        <v>11</v>
      </c>
      <c r="I30" s="19">
        <f t="shared" si="0"/>
        <v>1</v>
      </c>
      <c r="J30" s="19" t="e">
        <f t="shared" ca="1" si="1"/>
        <v>#NAME?</v>
      </c>
      <c r="K30" s="19" t="e">
        <f t="shared" ca="1" si="2"/>
        <v>#NAME?</v>
      </c>
      <c r="L30" s="19" t="e">
        <f t="shared" ca="1" si="3"/>
        <v>#NAME?</v>
      </c>
    </row>
    <row r="31" spans="1:28" x14ac:dyDescent="0.3">
      <c r="A31" t="str">
        <f>'Name Conversion '!E28</f>
        <v>THBEV sp equity</v>
      </c>
      <c r="C31" t="s">
        <v>348</v>
      </c>
      <c r="D31" t="e">
        <f ca="1">_xll.BDP($C31,D$4)</f>
        <v>#NAME?</v>
      </c>
      <c r="E31" t="e">
        <f ca="1">_xll.BDP($C31,E$4)</f>
        <v>#NAME?</v>
      </c>
      <c r="F31" t="e">
        <f ca="1">_xll.BDP($C31,F$4)</f>
        <v>#NAME?</v>
      </c>
      <c r="G31">
        <f>'STI ETF '!H36</f>
        <v>50737</v>
      </c>
      <c r="H31" s="19" t="s">
        <v>11</v>
      </c>
      <c r="I31" s="19">
        <f t="shared" si="0"/>
        <v>1</v>
      </c>
      <c r="J31" s="19" t="e">
        <f t="shared" ca="1" si="1"/>
        <v>#NAME?</v>
      </c>
      <c r="K31" s="19" t="e">
        <f t="shared" ca="1" si="2"/>
        <v>#NAME?</v>
      </c>
      <c r="L31" s="19" t="e">
        <f t="shared" ca="1" si="3"/>
        <v>#NAME?</v>
      </c>
    </row>
    <row r="32" spans="1:28" x14ac:dyDescent="0.3">
      <c r="A32" t="str">
        <f>'Name Conversion '!E29</f>
        <v>WIL sp equity</v>
      </c>
      <c r="C32" t="s">
        <v>349</v>
      </c>
      <c r="D32" t="e">
        <f ca="1">_xll.BDP($C32,D$4)</f>
        <v>#NAME?</v>
      </c>
      <c r="E32" t="e">
        <f ca="1">_xll.BDP($C32,E$4)</f>
        <v>#NAME?</v>
      </c>
      <c r="F32" t="e">
        <f ca="1">_xll.BDP($C32,F$4)</f>
        <v>#NAME?</v>
      </c>
      <c r="G32">
        <f>'STI ETF '!H37</f>
        <v>10970</v>
      </c>
      <c r="H32" s="19" t="s">
        <v>11</v>
      </c>
      <c r="I32" s="19">
        <f t="shared" si="0"/>
        <v>1</v>
      </c>
      <c r="J32" s="19" t="e">
        <f t="shared" ca="1" si="1"/>
        <v>#NAME?</v>
      </c>
      <c r="K32" s="19" t="e">
        <f t="shared" ca="1" si="2"/>
        <v>#NAME?</v>
      </c>
      <c r="L32" s="19" t="e">
        <f t="shared" ca="1" si="3"/>
        <v>#NAME?</v>
      </c>
    </row>
    <row r="33" spans="1:28" x14ac:dyDescent="0.3">
      <c r="A33" t="str">
        <f>'Name Conversion '!E30</f>
        <v>KEP sp equity</v>
      </c>
      <c r="C33" t="s">
        <v>350</v>
      </c>
      <c r="D33" t="e">
        <f ca="1">_xll.BDP($C33,D$4)</f>
        <v>#NAME?</v>
      </c>
      <c r="E33" t="e">
        <f ca="1">_xll.BDP($C33,E$4)</f>
        <v>#NAME?</v>
      </c>
      <c r="F33" t="e">
        <f ca="1">_xll.BDP($C33,F$4)</f>
        <v>#NAME?</v>
      </c>
      <c r="G33">
        <f>'STI ETF '!H38</f>
        <v>7421</v>
      </c>
      <c r="H33" s="19" t="s">
        <v>11</v>
      </c>
      <c r="I33" s="19">
        <f t="shared" si="0"/>
        <v>1</v>
      </c>
      <c r="J33" s="19" t="e">
        <f t="shared" ca="1" si="1"/>
        <v>#NAME?</v>
      </c>
      <c r="K33" s="19" t="e">
        <f t="shared" ca="1" si="2"/>
        <v>#NAME?</v>
      </c>
      <c r="L33" s="19" t="e">
        <f t="shared" ca="1" si="3"/>
        <v>#NAME?</v>
      </c>
      <c r="X33" t="e">
        <f ca="1">_xll.BFieldInfo(X$34)</f>
        <v>#NAME?</v>
      </c>
      <c r="Y33" t="e">
        <f ca="1">_xll.BFieldInfo(Y$34)</f>
        <v>#NAME?</v>
      </c>
      <c r="Z33" t="e">
        <f ca="1">_xll.BFieldInfo(Z$34)</f>
        <v>#NAME?</v>
      </c>
      <c r="AA33" t="e">
        <f ca="1">_xll.BFieldInfo(AA$34)</f>
        <v>#NAME?</v>
      </c>
      <c r="AB33" t="e">
        <f ca="1">_xll.BFieldInfo(AB$34)</f>
        <v>#NAME?</v>
      </c>
    </row>
    <row r="34" spans="1:28" x14ac:dyDescent="0.3">
      <c r="A34" t="str">
        <f>'Name Conversion '!E31</f>
        <v>YZJSGD sp equity</v>
      </c>
      <c r="C34" t="s">
        <v>351</v>
      </c>
      <c r="D34" t="e">
        <f ca="1">_xll.BDP($C34,D$4)</f>
        <v>#NAME?</v>
      </c>
      <c r="E34" t="e">
        <f ca="1">_xll.BDP($C34,E$4)</f>
        <v>#NAME?</v>
      </c>
      <c r="F34" t="e">
        <f ca="1">_xll.BDP($C34,F$4)</f>
        <v>#NAME?</v>
      </c>
      <c r="G34">
        <f>'STI ETF '!H39</f>
        <v>10671</v>
      </c>
      <c r="H34" s="19" t="s">
        <v>11</v>
      </c>
      <c r="I34" s="19">
        <f t="shared" si="0"/>
        <v>1</v>
      </c>
      <c r="J34" s="19" t="e">
        <f t="shared" ca="1" si="1"/>
        <v>#NAME?</v>
      </c>
      <c r="K34" s="19" t="e">
        <f t="shared" ca="1" si="2"/>
        <v>#NAME?</v>
      </c>
      <c r="L34" s="19" t="e">
        <f t="shared" ca="1" si="3"/>
        <v>#NAME?</v>
      </c>
      <c r="X34" t="s">
        <v>1</v>
      </c>
      <c r="Y34" t="s">
        <v>0</v>
      </c>
      <c r="Z34" t="s">
        <v>2</v>
      </c>
      <c r="AA34" t="s">
        <v>600</v>
      </c>
      <c r="AB34" t="s">
        <v>599</v>
      </c>
    </row>
    <row r="35" spans="1:28" x14ac:dyDescent="0.3">
      <c r="V35" t="s">
        <v>407</v>
      </c>
      <c r="W35" t="s">
        <v>379</v>
      </c>
      <c r="X35" t="e">
        <f ca="1">_xll.BDP($W35,X$34)</f>
        <v>#NAME?</v>
      </c>
      <c r="Y35" t="e">
        <f ca="1">_xll.BDP($W35,Y$34)</f>
        <v>#NAME?</v>
      </c>
      <c r="Z35" t="e">
        <f ca="1">_xll.BDP($W35,Z$34)</f>
        <v>#NAME?</v>
      </c>
      <c r="AA35" t="e">
        <f ca="1">_xll.BDP($W35,AA$34)</f>
        <v>#NAME?</v>
      </c>
      <c r="AB35" t="e">
        <f ca="1">_xll.BDP($W35,AB$34)</f>
        <v>#NAME?</v>
      </c>
    </row>
    <row r="36" spans="1:28" x14ac:dyDescent="0.3">
      <c r="V36" t="s">
        <v>406</v>
      </c>
      <c r="W36" t="s">
        <v>380</v>
      </c>
      <c r="X36" t="e">
        <f ca="1">_xll.BDP($W36,X$34)</f>
        <v>#NAME?</v>
      </c>
      <c r="Y36" t="e">
        <f ca="1">_xll.BDP($W36,Y$34)</f>
        <v>#NAME?</v>
      </c>
      <c r="Z36" t="e">
        <f ca="1">_xll.BDP($W36,Z$34)</f>
        <v>#NAME?</v>
      </c>
      <c r="AA36" t="e">
        <f ca="1">_xll.BDP($W36,AA$34)</f>
        <v>#NAME?</v>
      </c>
      <c r="AB36" t="e">
        <f ca="1">_xll.BDP($W36,AB$34)</f>
        <v>#NAME?</v>
      </c>
    </row>
    <row r="37" spans="1:28" x14ac:dyDescent="0.3">
      <c r="W37" t="s">
        <v>405</v>
      </c>
      <c r="X37" t="e">
        <f ca="1">_xll.BDP($W37,X$34)</f>
        <v>#NAME?</v>
      </c>
      <c r="Y37" t="e">
        <f ca="1">_xll.BDP($W37,Y$34)</f>
        <v>#NAME?</v>
      </c>
      <c r="Z37" t="e">
        <f ca="1">_xll.BDP($W37,Z$34)</f>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Q31"/>
  <sheetViews>
    <sheetView zoomScaleNormal="100" workbookViewId="0">
      <selection activeCell="I13" sqref="I13"/>
    </sheetView>
  </sheetViews>
  <sheetFormatPr defaultRowHeight="14.4" x14ac:dyDescent="0.3"/>
  <cols>
    <col min="1" max="2" width="33" bestFit="1" customWidth="1"/>
    <col min="3" max="3" width="31.88671875" bestFit="1" customWidth="1"/>
    <col min="4" max="4" width="9.5546875" bestFit="1" customWidth="1"/>
    <col min="5" max="5" width="17.33203125" bestFit="1" customWidth="1"/>
    <col min="7" max="8" width="31.33203125" bestFit="1" customWidth="1"/>
    <col min="9" max="9" width="53.6640625" bestFit="1" customWidth="1"/>
    <col min="10" max="10" width="10.6640625" bestFit="1" customWidth="1"/>
    <col min="11" max="11" width="17.33203125" bestFit="1" customWidth="1"/>
    <col min="16" max="16" width="31.33203125" bestFit="1" customWidth="1"/>
  </cols>
  <sheetData>
    <row r="1" spans="1:17" x14ac:dyDescent="0.3">
      <c r="A1" t="s">
        <v>312</v>
      </c>
      <c r="B1" t="s">
        <v>314</v>
      </c>
      <c r="C1" t="s">
        <v>318</v>
      </c>
      <c r="E1" t="s">
        <v>320</v>
      </c>
      <c r="G1" t="s">
        <v>313</v>
      </c>
      <c r="H1" t="s">
        <v>314</v>
      </c>
      <c r="I1" t="s">
        <v>319</v>
      </c>
      <c r="K1" t="s">
        <v>320</v>
      </c>
      <c r="O1" t="s">
        <v>315</v>
      </c>
    </row>
    <row r="2" spans="1:17" x14ac:dyDescent="0.3">
      <c r="A2" t="str">
        <f>'STI ETF '!E10</f>
        <v>SINGAPORETECH ENGINEERING</v>
      </c>
      <c r="B2" t="str">
        <f>'STI ETF '!B10</f>
        <v>'STE</v>
      </c>
      <c r="C2" t="str">
        <f>REPLACE(B2,1,1,"")</f>
        <v>STE</v>
      </c>
      <c r="D2" t="s">
        <v>321</v>
      </c>
      <c r="E2" s="2" t="str">
        <f>C2&amp; D2</f>
        <v>STE sp equity</v>
      </c>
      <c r="G2" s="9" t="str">
        <f>'SiMSCI '!B13</f>
        <v>DBS GROUP HOLDINGS</v>
      </c>
      <c r="H2" s="9" t="str">
        <f>'SiMSCI '!K13</f>
        <v>DBSM.SI</v>
      </c>
      <c r="I2" s="9" t="str">
        <f>REPLACE(H2,4,7,"")</f>
        <v>DBS</v>
      </c>
      <c r="J2" s="9" t="s">
        <v>321</v>
      </c>
      <c r="K2" s="9" t="str">
        <f>I2&amp; J2</f>
        <v>DBS sp equity</v>
      </c>
      <c r="O2" t="s">
        <v>317</v>
      </c>
      <c r="P2" t="s">
        <v>316</v>
      </c>
      <c r="Q2" t="str">
        <f>O2&amp;P2</f>
        <v>a b</v>
      </c>
    </row>
    <row r="3" spans="1:17" x14ac:dyDescent="0.3">
      <c r="A3" t="str">
        <f>'STI ETF '!E11</f>
        <v>DBS GROUPHOLDINGS LTD</v>
      </c>
      <c r="B3" t="str">
        <f>'STI ETF '!B11</f>
        <v>'DBS</v>
      </c>
      <c r="C3" t="str">
        <f t="shared" ref="C3:C31" si="0">REPLACE(B3,1,1,"")</f>
        <v>DBS</v>
      </c>
      <c r="D3" t="s">
        <v>321</v>
      </c>
      <c r="E3" s="2" t="str">
        <f t="shared" ref="E3:E31" si="1">C3&amp; D3</f>
        <v>DBS sp equity</v>
      </c>
      <c r="G3" s="9" t="str">
        <f>'SiMSCI '!B14</f>
        <v>OCBC BANK</v>
      </c>
      <c r="H3" s="9" t="str">
        <f>'SiMSCI '!K14</f>
        <v>OCBC.SI</v>
      </c>
      <c r="I3" s="9" t="s">
        <v>362</v>
      </c>
      <c r="J3" s="9" t="s">
        <v>321</v>
      </c>
      <c r="K3" s="9" t="str">
        <f t="shared" ref="K3:K20" si="2">I3&amp; J3</f>
        <v>OCBC sp equity</v>
      </c>
    </row>
    <row r="4" spans="1:17" x14ac:dyDescent="0.3">
      <c r="A4" t="str">
        <f>'STI ETF '!E12</f>
        <v>DAIRY FARMINTL HLDGS LTD</v>
      </c>
      <c r="B4" t="str">
        <f>'STI ETF '!B12</f>
        <v>'DFI</v>
      </c>
      <c r="C4" t="str">
        <f t="shared" si="0"/>
        <v>DFI</v>
      </c>
      <c r="D4" t="s">
        <v>321</v>
      </c>
      <c r="E4" s="2" t="str">
        <f t="shared" si="1"/>
        <v>DFI sp equity</v>
      </c>
      <c r="G4" s="9" t="str">
        <f>'SiMSCI '!B15</f>
        <v>UNITED OVERSEAS BANK</v>
      </c>
      <c r="H4" s="9" t="str">
        <f>'SiMSCI '!K15</f>
        <v>UOBH.SI</v>
      </c>
      <c r="I4" s="9" t="str">
        <f>REPLACE(H4,4,7,"")</f>
        <v>UOB</v>
      </c>
      <c r="J4" s="9" t="s">
        <v>321</v>
      </c>
      <c r="K4" s="9" t="str">
        <f t="shared" si="2"/>
        <v>UOB sp equity</v>
      </c>
    </row>
    <row r="5" spans="1:17" x14ac:dyDescent="0.3">
      <c r="A5" t="str">
        <f>'STI ETF '!E13</f>
        <v>CITY DEVELOPMENTS LTD</v>
      </c>
      <c r="B5" t="str">
        <f>'STI ETF '!B13</f>
        <v>'CIT</v>
      </c>
      <c r="C5" t="str">
        <f t="shared" si="0"/>
        <v>CIT</v>
      </c>
      <c r="D5" t="s">
        <v>321</v>
      </c>
      <c r="E5" s="2" t="str">
        <f t="shared" si="1"/>
        <v>CIT sp equity</v>
      </c>
      <c r="G5" s="9" t="str">
        <f>'SiMSCI '!B16</f>
        <v>SINGAPORE TELECOM</v>
      </c>
      <c r="H5" s="9" t="str">
        <f>'SiMSCI '!K16</f>
        <v>STEL.SI</v>
      </c>
      <c r="I5" s="9" t="s">
        <v>360</v>
      </c>
      <c r="J5" s="9" t="s">
        <v>321</v>
      </c>
      <c r="K5" s="9" t="str">
        <f t="shared" si="2"/>
        <v>ST sp equity</v>
      </c>
    </row>
    <row r="6" spans="1:17" x14ac:dyDescent="0.3">
      <c r="A6" t="str">
        <f>'STI ETF '!E14</f>
        <v>JARDINE CYCLE + CARRIAGE LTD</v>
      </c>
      <c r="B6" t="str">
        <f>'STI ETF '!B14</f>
        <v>'JCNC</v>
      </c>
      <c r="C6" t="str">
        <f t="shared" si="0"/>
        <v>JCNC</v>
      </c>
      <c r="D6" t="s">
        <v>321</v>
      </c>
      <c r="E6" s="2" t="str">
        <f t="shared" si="1"/>
        <v>JCNC sp equity</v>
      </c>
      <c r="G6" s="9" t="str">
        <f>'SiMSCI '!B17</f>
        <v>WILMAR INTERNATIONAL</v>
      </c>
      <c r="H6" s="9" t="str">
        <f>'SiMSCI '!K17</f>
        <v>WLIL.SI</v>
      </c>
      <c r="I6" s="9" t="s">
        <v>363</v>
      </c>
      <c r="J6" s="9" t="s">
        <v>321</v>
      </c>
      <c r="K6" s="9" t="str">
        <f t="shared" si="2"/>
        <v>WIL sp equity</v>
      </c>
    </row>
    <row r="7" spans="1:17" x14ac:dyDescent="0.3">
      <c r="A7" t="str">
        <f>'STI ETF '!E15</f>
        <v>SATS LTD</v>
      </c>
      <c r="B7" t="str">
        <f>'STI ETF '!B15</f>
        <v>'SATS</v>
      </c>
      <c r="C7" t="str">
        <f t="shared" si="0"/>
        <v>SATS</v>
      </c>
      <c r="D7" t="s">
        <v>321</v>
      </c>
      <c r="E7" s="2" t="str">
        <f t="shared" si="1"/>
        <v>SATS sp equity</v>
      </c>
      <c r="G7" s="9" t="str">
        <f>'SiMSCI '!B18</f>
        <v>CAPITALAND</v>
      </c>
      <c r="H7" s="9" t="str">
        <f>'SiMSCI '!K18</f>
        <v>CATL.SI</v>
      </c>
      <c r="I7" s="10" t="s">
        <v>354</v>
      </c>
      <c r="J7" s="9" t="s">
        <v>321</v>
      </c>
      <c r="K7" s="9" t="str">
        <f t="shared" si="2"/>
        <v>CICT sp equity</v>
      </c>
    </row>
    <row r="8" spans="1:17" x14ac:dyDescent="0.3">
      <c r="A8" t="str">
        <f>'STI ETF '!E16</f>
        <v>SINGAPOREEXCHANGE LTD</v>
      </c>
      <c r="B8" t="str">
        <f>'STI ETF '!B16</f>
        <v>'SGX</v>
      </c>
      <c r="C8" t="str">
        <f t="shared" si="0"/>
        <v>SGX</v>
      </c>
      <c r="D8" t="s">
        <v>321</v>
      </c>
      <c r="E8" s="2" t="str">
        <f t="shared" si="1"/>
        <v>SGX sp equity</v>
      </c>
      <c r="G8" s="9" t="str">
        <f>'SiMSCI '!B19</f>
        <v>CAPITALAND INTEGRATED</v>
      </c>
      <c r="H8" s="9" t="str">
        <f>'SiMSCI '!K19</f>
        <v>CMLT.SI</v>
      </c>
      <c r="I8" s="9" t="s">
        <v>355</v>
      </c>
      <c r="J8" s="9" t="s">
        <v>321</v>
      </c>
      <c r="K8" s="9" t="str">
        <f t="shared" si="2"/>
        <v>AREIT sp equity</v>
      </c>
    </row>
    <row r="9" spans="1:17" x14ac:dyDescent="0.3">
      <c r="A9" t="str">
        <f>'STI ETF '!E17</f>
        <v>CAPITALANDLTD</v>
      </c>
      <c r="B9" t="str">
        <f>'STI ETF '!B17</f>
        <v>'CAPL</v>
      </c>
      <c r="C9" t="str">
        <f t="shared" si="0"/>
        <v>CAPL</v>
      </c>
      <c r="D9" t="s">
        <v>321</v>
      </c>
      <c r="E9" s="2" t="str">
        <f t="shared" si="1"/>
        <v>CAPL sp equity</v>
      </c>
      <c r="G9" s="9" t="str">
        <f>'SiMSCI '!B20</f>
        <v>ASCENDAS REIT</v>
      </c>
      <c r="H9" s="9" t="str">
        <f>'SiMSCI '!K20</f>
        <v>AEMN.SI</v>
      </c>
      <c r="I9" s="9" t="s">
        <v>353</v>
      </c>
      <c r="J9" s="9" t="s">
        <v>321</v>
      </c>
      <c r="K9" s="9" t="str">
        <f t="shared" si="2"/>
        <v>CAPL sp equity</v>
      </c>
    </row>
    <row r="10" spans="1:17" x14ac:dyDescent="0.3">
      <c r="A10" t="str">
        <f>'STI ETF '!E18</f>
        <v>CAPITALANDINTEGRATED COMMER</v>
      </c>
      <c r="B10" t="str">
        <f>'STI ETF '!B18</f>
        <v>'CICT</v>
      </c>
      <c r="C10" t="str">
        <f t="shared" si="0"/>
        <v>CICT</v>
      </c>
      <c r="D10" t="s">
        <v>321</v>
      </c>
      <c r="E10" s="2" t="str">
        <f t="shared" si="1"/>
        <v>CICT sp equity</v>
      </c>
      <c r="G10" s="9" t="str">
        <f>'SiMSCI '!B21</f>
        <v>KEPPEL CORP</v>
      </c>
      <c r="H10" s="9" t="str">
        <f>'SiMSCI '!K21</f>
        <v>KPLM.SI</v>
      </c>
      <c r="I10" s="9" t="str">
        <f>REPLACE(H10,4,7,"")</f>
        <v>KPL</v>
      </c>
      <c r="J10" s="9" t="s">
        <v>321</v>
      </c>
      <c r="K10" s="9" t="str">
        <f t="shared" si="2"/>
        <v>KPL sp equity</v>
      </c>
    </row>
    <row r="11" spans="1:17" x14ac:dyDescent="0.3">
      <c r="A11" t="str">
        <f>'STI ETF '!E19</f>
        <v>HONGKONG LAND HOLDINGS LTD</v>
      </c>
      <c r="B11" t="str">
        <f>'STI ETF '!B19</f>
        <v>'HKL</v>
      </c>
      <c r="C11" t="str">
        <f t="shared" si="0"/>
        <v>HKL</v>
      </c>
      <c r="D11" t="s">
        <v>321</v>
      </c>
      <c r="E11" s="2" t="str">
        <f t="shared" si="1"/>
        <v>HKL sp equity</v>
      </c>
      <c r="G11" s="9" t="str">
        <f>'SiMSCI '!B22</f>
        <v>SINGAPORE EXCHANGE</v>
      </c>
      <c r="H11" s="9" t="str">
        <f>'SiMSCI '!K22</f>
        <v>SGXL.SI</v>
      </c>
      <c r="I11" s="9" t="s">
        <v>364</v>
      </c>
      <c r="J11" s="9" t="s">
        <v>321</v>
      </c>
      <c r="K11" s="9" t="str">
        <f t="shared" si="2"/>
        <v>KEP sp equity</v>
      </c>
    </row>
    <row r="12" spans="1:17" x14ac:dyDescent="0.3">
      <c r="A12" t="str">
        <f>'STI ETF '!E20</f>
        <v>JARDINE MATHESON HOLDINGS LTD</v>
      </c>
      <c r="B12" t="str">
        <f>'STI ETF '!B20</f>
        <v>'JM</v>
      </c>
      <c r="C12" t="str">
        <f t="shared" si="0"/>
        <v>JM</v>
      </c>
      <c r="D12" t="s">
        <v>321</v>
      </c>
      <c r="E12" s="2" t="str">
        <f t="shared" si="1"/>
        <v>JM sp equity</v>
      </c>
      <c r="G12" s="9" t="str">
        <f>'SiMSCI '!B23</f>
        <v>SINGAPORE AIRLINES</v>
      </c>
      <c r="H12" s="9" t="str">
        <f>'SiMSCI '!K23</f>
        <v>SIAL.SI</v>
      </c>
      <c r="I12" s="9" t="str">
        <f>REPLACE(H12,4,7,"")</f>
        <v>SIA</v>
      </c>
      <c r="J12" s="9" t="s">
        <v>321</v>
      </c>
      <c r="K12" s="9" t="str">
        <f t="shared" si="2"/>
        <v>SIA sp equity</v>
      </c>
    </row>
    <row r="13" spans="1:17" x14ac:dyDescent="0.3">
      <c r="A13" t="str">
        <f>'STI ETF '!E21</f>
        <v>JARDINE STRATEGIC HLDGS LTD</v>
      </c>
      <c r="B13" t="str">
        <f>'STI ETF '!B21</f>
        <v>'JS</v>
      </c>
      <c r="C13" t="str">
        <f t="shared" si="0"/>
        <v>JS</v>
      </c>
      <c r="D13" t="s">
        <v>321</v>
      </c>
      <c r="E13" s="2" t="str">
        <f t="shared" si="1"/>
        <v>JS sp equity</v>
      </c>
      <c r="G13" s="9" t="str">
        <f>'SiMSCI '!B24</f>
        <v>SINGAPORE TECH ENGR</v>
      </c>
      <c r="H13" s="9" t="str">
        <f>'SiMSCI '!K24</f>
        <v>STEG.SI</v>
      </c>
      <c r="I13" s="9" t="str">
        <f>REPLACE(H13,4,7,"")</f>
        <v>STE</v>
      </c>
      <c r="J13" s="9" t="s">
        <v>321</v>
      </c>
      <c r="K13" s="9" t="str">
        <f t="shared" si="2"/>
        <v>STE sp equity</v>
      </c>
    </row>
    <row r="14" spans="1:17" x14ac:dyDescent="0.3">
      <c r="A14" t="str">
        <f>'STI ETF '!E22</f>
        <v>ASCENDAS REAL ESTATE INV TRT</v>
      </c>
      <c r="B14" t="str">
        <f>'STI ETF '!B22</f>
        <v>'AREIT</v>
      </c>
      <c r="C14" t="str">
        <f t="shared" si="0"/>
        <v>AREIT</v>
      </c>
      <c r="D14" t="s">
        <v>321</v>
      </c>
      <c r="E14" s="2" t="str">
        <f t="shared" si="1"/>
        <v>AREIT sp equity</v>
      </c>
      <c r="G14" s="9" t="str">
        <f>'SiMSCI '!B25</f>
        <v>MAPLETREE LOGISTICS</v>
      </c>
      <c r="H14" s="9" t="str">
        <f>'SiMSCI '!K25</f>
        <v>MAPL.SI</v>
      </c>
      <c r="I14" s="9" t="s">
        <v>358</v>
      </c>
      <c r="J14" s="9" t="s">
        <v>321</v>
      </c>
      <c r="K14" s="9" t="str">
        <f t="shared" si="2"/>
        <v>GENS sp equity</v>
      </c>
    </row>
    <row r="15" spans="1:17" x14ac:dyDescent="0.3">
      <c r="A15" t="str">
        <f>'STI ETF '!E23</f>
        <v>COMFORTDELGRO CORP LTD</v>
      </c>
      <c r="B15" t="str">
        <f>'STI ETF '!B23</f>
        <v>'CD</v>
      </c>
      <c r="C15" t="str">
        <f t="shared" si="0"/>
        <v>CD</v>
      </c>
      <c r="D15" t="s">
        <v>321</v>
      </c>
      <c r="E15" s="2" t="str">
        <f t="shared" si="1"/>
        <v>CD sp equity</v>
      </c>
      <c r="G15" s="9" t="str">
        <f>'SiMSCI '!B26</f>
        <v>VENTURE CORP</v>
      </c>
      <c r="H15" s="9" t="str">
        <f>'SiMSCI '!K26</f>
        <v>VENM.SI</v>
      </c>
      <c r="I15" s="9" t="s">
        <v>357</v>
      </c>
      <c r="J15" s="9" t="s">
        <v>321</v>
      </c>
      <c r="K15" s="9" t="str">
        <f t="shared" si="2"/>
        <v>VMS sp equity</v>
      </c>
    </row>
    <row r="16" spans="1:17" x14ac:dyDescent="0.3">
      <c r="A16" t="str">
        <f>'STI ETF '!E24</f>
        <v>SINGAPOREAIRLINES LTD</v>
      </c>
      <c r="B16" t="str">
        <f>'STI ETF '!B24</f>
        <v>'SIA</v>
      </c>
      <c r="C16" t="str">
        <f t="shared" si="0"/>
        <v>SIA</v>
      </c>
      <c r="D16" t="s">
        <v>321</v>
      </c>
      <c r="E16" s="2" t="str">
        <f t="shared" si="1"/>
        <v>SIA sp equity</v>
      </c>
      <c r="G16" s="9" t="str">
        <f>'SiMSCI '!B27</f>
        <v>GENTING SINGAPORE</v>
      </c>
      <c r="H16" s="9" t="str">
        <f>'SiMSCI '!K27</f>
        <v>GENS.SI</v>
      </c>
      <c r="I16" s="9" t="s">
        <v>361</v>
      </c>
      <c r="J16" s="9" t="s">
        <v>321</v>
      </c>
      <c r="K16" s="9" t="str">
        <f t="shared" si="2"/>
        <v>MLT sp equity</v>
      </c>
    </row>
    <row r="17" spans="1:11" x14ac:dyDescent="0.3">
      <c r="A17" t="str">
        <f>'STI ETF '!E25</f>
        <v>UNITED OVERSEAS BANK LTD</v>
      </c>
      <c r="B17" t="str">
        <f>'STI ETF '!B25</f>
        <v>'UOB</v>
      </c>
      <c r="C17" t="str">
        <f t="shared" si="0"/>
        <v>UOB</v>
      </c>
      <c r="D17" t="s">
        <v>321</v>
      </c>
      <c r="E17" s="2" t="str">
        <f t="shared" si="1"/>
        <v>UOB sp equity</v>
      </c>
      <c r="G17" s="9" t="str">
        <f>'SiMSCI '!B28</f>
        <v>MAPLETREE COMM TRUST</v>
      </c>
      <c r="H17" s="9" t="str">
        <f>'SiMSCI '!K28</f>
        <v>MACT.SI</v>
      </c>
      <c r="I17" s="9" t="s">
        <v>359</v>
      </c>
      <c r="J17" s="9" t="s">
        <v>321</v>
      </c>
      <c r="K17" s="9" t="str">
        <f t="shared" si="2"/>
        <v>MCT sp equity</v>
      </c>
    </row>
    <row r="18" spans="1:11" x14ac:dyDescent="0.3">
      <c r="A18" t="str">
        <f>'STI ETF '!E26</f>
        <v>UOL GROUPLTD</v>
      </c>
      <c r="B18" t="str">
        <f>'STI ETF '!B26</f>
        <v>'UOL</v>
      </c>
      <c r="C18" t="str">
        <f t="shared" si="0"/>
        <v>UOL</v>
      </c>
      <c r="D18" t="s">
        <v>321</v>
      </c>
      <c r="E18" s="2" t="str">
        <f t="shared" si="1"/>
        <v>UOL sp equity</v>
      </c>
      <c r="G18" s="9" t="str">
        <f>'SiMSCI '!B29</f>
        <v>CITY DEVELOPMENTS</v>
      </c>
      <c r="H18" s="9" t="str">
        <f>'SiMSCI '!K29</f>
        <v>CTDM.SI</v>
      </c>
      <c r="I18" s="9" t="s">
        <v>356</v>
      </c>
      <c r="J18" s="9" t="s">
        <v>321</v>
      </c>
      <c r="K18" s="9" t="str">
        <f t="shared" si="2"/>
        <v>UOL sp equity</v>
      </c>
    </row>
    <row r="19" spans="1:11" x14ac:dyDescent="0.3">
      <c r="A19" t="str">
        <f>'STI ETF '!E27</f>
        <v>VENTURE CORP LTD</v>
      </c>
      <c r="B19" t="str">
        <f>'STI ETF '!B27</f>
        <v>'VMS</v>
      </c>
      <c r="C19" t="str">
        <f t="shared" si="0"/>
        <v>VMS</v>
      </c>
      <c r="D19" t="s">
        <v>321</v>
      </c>
      <c r="E19" s="2" t="str">
        <f t="shared" si="1"/>
        <v>VMS sp equity</v>
      </c>
      <c r="G19" s="9" t="str">
        <f>'SiMSCI '!B30</f>
        <v>UNITED OVERSEAS LAND</v>
      </c>
      <c r="H19" s="9" t="str">
        <f>'SiMSCI '!K30</f>
        <v>UTOS.SI</v>
      </c>
      <c r="I19" s="11" t="s">
        <v>352</v>
      </c>
      <c r="J19" s="9" t="s">
        <v>321</v>
      </c>
      <c r="K19" s="9" t="str">
        <f t="shared" si="2"/>
        <v>CIT sp equity</v>
      </c>
    </row>
    <row r="20" spans="1:11" x14ac:dyDescent="0.3">
      <c r="A20" t="str">
        <f>'STI ETF '!E28</f>
        <v>GENTING SINGAPORE LTD</v>
      </c>
      <c r="B20" t="str">
        <f>'STI ETF '!B28</f>
        <v>'GENS</v>
      </c>
      <c r="C20" t="str">
        <f t="shared" si="0"/>
        <v>GENS</v>
      </c>
      <c r="D20" t="s">
        <v>321</v>
      </c>
      <c r="E20" s="2" t="str">
        <f t="shared" si="1"/>
        <v>GENS sp equity</v>
      </c>
      <c r="G20" s="9" t="str">
        <f>'SiMSCI '!B31</f>
        <v>SUNTEC REIT</v>
      </c>
      <c r="H20" s="9" t="str">
        <f>'SiMSCI '!K31</f>
        <v>SUNT.SI</v>
      </c>
      <c r="I20" s="9" t="str">
        <f>REPLACE(H20,4,7,"")</f>
        <v>SUN</v>
      </c>
      <c r="J20" s="9" t="s">
        <v>321</v>
      </c>
      <c r="K20" s="9" t="str">
        <f t="shared" si="2"/>
        <v>SUN sp equity</v>
      </c>
    </row>
    <row r="21" spans="1:11" x14ac:dyDescent="0.3">
      <c r="A21" t="str">
        <f>'STI ETF '!E29</f>
        <v>MAPLETREEINDUSTRIAL TRUST</v>
      </c>
      <c r="B21" t="str">
        <f>'STI ETF '!B29</f>
        <v>'MINT</v>
      </c>
      <c r="C21" t="str">
        <f t="shared" si="0"/>
        <v>MINT</v>
      </c>
      <c r="D21" t="s">
        <v>321</v>
      </c>
      <c r="E21" s="2" t="str">
        <f t="shared" si="1"/>
        <v>MINT sp equity</v>
      </c>
    </row>
    <row r="22" spans="1:11" x14ac:dyDescent="0.3">
      <c r="A22" t="str">
        <f>'STI ETF '!E30</f>
        <v>MAPLETREECOMMERCIAL TRUST</v>
      </c>
      <c r="B22" t="str">
        <f>'STI ETF '!B30</f>
        <v>'MCT</v>
      </c>
      <c r="C22" t="str">
        <f t="shared" si="0"/>
        <v>MCT</v>
      </c>
      <c r="D22" t="s">
        <v>321</v>
      </c>
      <c r="E22" s="2" t="str">
        <f t="shared" si="1"/>
        <v>MCT sp equity</v>
      </c>
    </row>
    <row r="23" spans="1:11" x14ac:dyDescent="0.3">
      <c r="A23" t="str">
        <f>'STI ETF '!E31</f>
        <v>KEPPEL DCREIT</v>
      </c>
      <c r="B23" t="str">
        <f>'STI ETF '!B31</f>
        <v>'KDCREIT</v>
      </c>
      <c r="C23" t="str">
        <f t="shared" si="0"/>
        <v>KDCREIT</v>
      </c>
      <c r="D23" t="s">
        <v>321</v>
      </c>
      <c r="E23" s="2" t="str">
        <f t="shared" si="1"/>
        <v>KDCREIT sp equity</v>
      </c>
    </row>
    <row r="24" spans="1:11" x14ac:dyDescent="0.3">
      <c r="A24" t="str">
        <f>'STI ETF '!E32</f>
        <v>SINGAPORETELECOMMUNICATIONS</v>
      </c>
      <c r="B24" t="str">
        <f>'STI ETF '!B32</f>
        <v>'ST</v>
      </c>
      <c r="C24" t="str">
        <f t="shared" si="0"/>
        <v>ST</v>
      </c>
      <c r="D24" t="s">
        <v>321</v>
      </c>
      <c r="E24" s="2" t="str">
        <f t="shared" si="1"/>
        <v>ST sp equity</v>
      </c>
    </row>
    <row r="25" spans="1:11" x14ac:dyDescent="0.3">
      <c r="A25" t="str">
        <f>'STI ETF '!E33</f>
        <v>SEMBCORP INDUSTRIES LTD</v>
      </c>
      <c r="B25" t="str">
        <f>'STI ETF '!B33</f>
        <v>'SCI</v>
      </c>
      <c r="C25" t="str">
        <f t="shared" si="0"/>
        <v>SCI</v>
      </c>
      <c r="D25" t="s">
        <v>321</v>
      </c>
      <c r="E25" s="2" t="str">
        <f t="shared" si="1"/>
        <v>SCI sp equity</v>
      </c>
    </row>
    <row r="26" spans="1:11" x14ac:dyDescent="0.3">
      <c r="A26" t="str">
        <f>'STI ETF '!E34</f>
        <v>MAPLETREELOGISTICS TRUST</v>
      </c>
      <c r="B26" t="str">
        <f>'STI ETF '!B34</f>
        <v>'MLT</v>
      </c>
      <c r="C26" t="str">
        <f t="shared" si="0"/>
        <v>MLT</v>
      </c>
      <c r="D26" t="s">
        <v>321</v>
      </c>
      <c r="E26" s="2" t="str">
        <f t="shared" si="1"/>
        <v>MLT sp equity</v>
      </c>
    </row>
    <row r="27" spans="1:11" x14ac:dyDescent="0.3">
      <c r="A27" t="str">
        <f>'STI ETF '!E35</f>
        <v>OVERSEA-CHINESE BANKING CORP L</v>
      </c>
      <c r="B27" t="str">
        <f>'STI ETF '!B35</f>
        <v>'OCBC</v>
      </c>
      <c r="C27" t="str">
        <f t="shared" si="0"/>
        <v>OCBC</v>
      </c>
      <c r="D27" t="s">
        <v>321</v>
      </c>
      <c r="E27" s="2" t="str">
        <f t="shared" si="1"/>
        <v>OCBC sp equity</v>
      </c>
    </row>
    <row r="28" spans="1:11" x14ac:dyDescent="0.3">
      <c r="A28" t="str">
        <f>'STI ETF '!E36</f>
        <v>THAI BEVERAGE PCL</v>
      </c>
      <c r="B28" t="str">
        <f>'STI ETF '!B36</f>
        <v>'THBEV</v>
      </c>
      <c r="C28" t="str">
        <f t="shared" si="0"/>
        <v>THBEV</v>
      </c>
      <c r="D28" t="s">
        <v>321</v>
      </c>
      <c r="E28" s="2" t="str">
        <f t="shared" si="1"/>
        <v>THBEV sp equity</v>
      </c>
    </row>
    <row r="29" spans="1:11" x14ac:dyDescent="0.3">
      <c r="A29" t="str">
        <f>'STI ETF '!E37</f>
        <v>WILMAR INTERNATIONAL LTD</v>
      </c>
      <c r="B29" t="str">
        <f>'STI ETF '!B37</f>
        <v>'WIL</v>
      </c>
      <c r="C29" t="str">
        <f t="shared" si="0"/>
        <v>WIL</v>
      </c>
      <c r="D29" t="s">
        <v>321</v>
      </c>
      <c r="E29" s="2" t="str">
        <f t="shared" si="1"/>
        <v>WIL sp equity</v>
      </c>
    </row>
    <row r="30" spans="1:11" x14ac:dyDescent="0.3">
      <c r="A30" t="str">
        <f>'STI ETF '!E38</f>
        <v>KEPPEL CORP LTD</v>
      </c>
      <c r="B30" t="str">
        <f>'STI ETF '!B38</f>
        <v>'KEP</v>
      </c>
      <c r="C30" t="str">
        <f t="shared" si="0"/>
        <v>KEP</v>
      </c>
      <c r="D30" t="s">
        <v>321</v>
      </c>
      <c r="E30" s="2" t="str">
        <f t="shared" si="1"/>
        <v>KEP sp equity</v>
      </c>
    </row>
    <row r="31" spans="1:11" x14ac:dyDescent="0.3">
      <c r="A31" t="str">
        <f>'STI ETF '!E39</f>
        <v>YANGZIJIANG SHIPBUILDING</v>
      </c>
      <c r="B31" t="str">
        <f>'STI ETF '!B39</f>
        <v>'YZJSGD</v>
      </c>
      <c r="C31" t="str">
        <f t="shared" si="0"/>
        <v>YZJSGD</v>
      </c>
      <c r="D31" t="s">
        <v>321</v>
      </c>
      <c r="E31" s="2" t="str">
        <f t="shared" si="1"/>
        <v>YZJSGD sp equity</v>
      </c>
    </row>
  </sheetData>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J31"/>
  <sheetViews>
    <sheetView tabSelected="1" workbookViewId="0">
      <selection activeCell="I5" sqref="I5"/>
    </sheetView>
  </sheetViews>
  <sheetFormatPr defaultRowHeight="14.4" x14ac:dyDescent="0.3"/>
  <cols>
    <col min="1" max="1" width="25.6640625" customWidth="1"/>
    <col min="2" max="2" width="20.33203125" customWidth="1"/>
    <col min="3" max="3" width="33.5546875" customWidth="1"/>
    <col min="4" max="4" width="11" customWidth="1"/>
    <col min="5" max="5" width="19.109375" customWidth="1"/>
    <col min="6" max="6" width="11" customWidth="1"/>
    <col min="7" max="7" width="33" customWidth="1"/>
    <col min="8" max="8" width="20.33203125" customWidth="1"/>
    <col min="9" max="9" width="54.5546875" customWidth="1"/>
  </cols>
  <sheetData>
    <row r="1" spans="1:10" x14ac:dyDescent="0.3">
      <c r="A1" t="s">
        <v>312</v>
      </c>
      <c r="B1" t="s">
        <v>314</v>
      </c>
      <c r="C1" t="s">
        <v>318</v>
      </c>
      <c r="D1" t="s">
        <v>365</v>
      </c>
      <c r="E1" t="s">
        <v>320</v>
      </c>
      <c r="F1" t="s">
        <v>366</v>
      </c>
      <c r="G1" t="s">
        <v>313</v>
      </c>
      <c r="H1" t="s">
        <v>314</v>
      </c>
      <c r="I1" t="s">
        <v>319</v>
      </c>
      <c r="J1" t="s">
        <v>365</v>
      </c>
    </row>
    <row r="2" spans="1:10" x14ac:dyDescent="0.3">
      <c r="A2" t="str">
        <f>'STI ETF '!E22</f>
        <v>ASCENDAS REAL ESTATE INV TRT</v>
      </c>
      <c r="B2" t="str">
        <f>'STI ETF '!B22</f>
        <v>'AREIT</v>
      </c>
      <c r="C2" t="str">
        <f t="shared" ref="C2:C31" si="0">REPLACE(B2,1,1,"")</f>
        <v>AREIT</v>
      </c>
      <c r="D2" t="s">
        <v>321</v>
      </c>
      <c r="E2" t="str">
        <f t="shared" ref="E2:E31" si="1">C2&amp; D2</f>
        <v>AREIT sp equity</v>
      </c>
      <c r="G2" t="str">
        <f>'SiMSCI '!B19</f>
        <v>CAPITALAND INTEGRATED</v>
      </c>
      <c r="H2" t="str">
        <f>'SiMSCI '!K19</f>
        <v>CMLT.SI</v>
      </c>
      <c r="I2" t="s">
        <v>355</v>
      </c>
      <c r="J2" t="str">
        <f>IF(I2=C2,Table2[[#This Row],[adddind SP equity]],"")</f>
        <v>AREIT sp equity</v>
      </c>
    </row>
    <row r="3" spans="1:10" x14ac:dyDescent="0.3">
      <c r="A3" t="str">
        <f>'STI ETF '!E17</f>
        <v>CAPITALANDLTD</v>
      </c>
      <c r="B3" t="str">
        <f>'STI ETF '!B17</f>
        <v>'CAPL</v>
      </c>
      <c r="C3" t="str">
        <f t="shared" si="0"/>
        <v>CAPL</v>
      </c>
      <c r="D3" t="s">
        <v>321</v>
      </c>
      <c r="E3" t="str">
        <f t="shared" si="1"/>
        <v>CAPL sp equity</v>
      </c>
      <c r="G3" t="str">
        <f>'SiMSCI '!B20</f>
        <v>ASCENDAS REIT</v>
      </c>
      <c r="H3" t="str">
        <f>'SiMSCI '!K20</f>
        <v>AEMN.SI</v>
      </c>
      <c r="I3" t="s">
        <v>353</v>
      </c>
      <c r="J3" t="str">
        <f>IF(I3=C3,Table2[[#This Row],[adddind SP equity]],"")</f>
        <v>CAPL sp equity</v>
      </c>
    </row>
    <row r="4" spans="1:10" x14ac:dyDescent="0.3">
      <c r="A4" t="str">
        <f>'STI ETF '!E23</f>
        <v>COMFORTDELGRO CORP LTD</v>
      </c>
      <c r="B4" t="str">
        <f>'STI ETF '!B23</f>
        <v>'CD</v>
      </c>
      <c r="C4" t="str">
        <f t="shared" si="0"/>
        <v>CD</v>
      </c>
      <c r="D4" t="s">
        <v>321</v>
      </c>
      <c r="E4" t="str">
        <f t="shared" si="1"/>
        <v>CD sp equity</v>
      </c>
      <c r="G4" s="3"/>
      <c r="H4" s="3"/>
      <c r="I4" s="3"/>
      <c r="J4" t="str">
        <f>IF(I4=C4,Table2[[#This Row],[adddind SP equity]],"")</f>
        <v/>
      </c>
    </row>
    <row r="5" spans="1:10" x14ac:dyDescent="0.3">
      <c r="A5" t="str">
        <f>'STI ETF '!E18</f>
        <v>CAPITALANDINTEGRATED COMMER</v>
      </c>
      <c r="B5" t="str">
        <f>'STI ETF '!B18</f>
        <v>'CICT</v>
      </c>
      <c r="C5" t="str">
        <f t="shared" si="0"/>
        <v>CICT</v>
      </c>
      <c r="D5" t="s">
        <v>321</v>
      </c>
      <c r="E5" t="str">
        <f t="shared" si="1"/>
        <v>CICT sp equity</v>
      </c>
      <c r="G5" t="str">
        <f>'SiMSCI '!B18</f>
        <v>CAPITALAND</v>
      </c>
      <c r="H5" t="str">
        <f>'SiMSCI '!K18</f>
        <v>CATL.SI</v>
      </c>
      <c r="I5" t="s">
        <v>354</v>
      </c>
      <c r="J5" t="str">
        <f>IF(I5=C5,Table2[[#This Row],[adddind SP equity]],"")</f>
        <v>CICT sp equity</v>
      </c>
    </row>
    <row r="6" spans="1:10" x14ac:dyDescent="0.3">
      <c r="A6" t="str">
        <f>'STI ETF '!E13</f>
        <v>CITY DEVELOPMENTS LTD</v>
      </c>
      <c r="B6" t="str">
        <f>'STI ETF '!B13</f>
        <v>'CIT</v>
      </c>
      <c r="C6" t="str">
        <f t="shared" si="0"/>
        <v>CIT</v>
      </c>
      <c r="D6" t="s">
        <v>321</v>
      </c>
      <c r="E6" t="str">
        <f t="shared" si="1"/>
        <v>CIT sp equity</v>
      </c>
      <c r="G6" t="str">
        <f>'SiMSCI '!B30</f>
        <v>UNITED OVERSEAS LAND</v>
      </c>
      <c r="H6" t="str">
        <f>'SiMSCI '!K30</f>
        <v>UTOS.SI</v>
      </c>
      <c r="I6" t="s">
        <v>352</v>
      </c>
      <c r="J6" t="str">
        <f>IF(I6=C6,Table2[[#This Row],[adddind SP equity]],"")</f>
        <v>CIT sp equity</v>
      </c>
    </row>
    <row r="7" spans="1:10" x14ac:dyDescent="0.3">
      <c r="A7" t="str">
        <f>'STI ETF '!E11</f>
        <v>DBS GROUPHOLDINGS LTD</v>
      </c>
      <c r="B7" t="str">
        <f>'STI ETF '!B11</f>
        <v>'DBS</v>
      </c>
      <c r="C7" t="str">
        <f t="shared" si="0"/>
        <v>DBS</v>
      </c>
      <c r="D7" t="s">
        <v>321</v>
      </c>
      <c r="E7" t="str">
        <f t="shared" si="1"/>
        <v>DBS sp equity</v>
      </c>
      <c r="G7" t="str">
        <f>'SiMSCI '!B13</f>
        <v>DBS GROUP HOLDINGS</v>
      </c>
      <c r="H7" t="str">
        <f>'SiMSCI '!K13</f>
        <v>DBSM.SI</v>
      </c>
      <c r="I7" t="str">
        <f>REPLACE(H7,4,7,"")</f>
        <v>DBS</v>
      </c>
      <c r="J7" t="str">
        <f>IF(I7=C7,Table2[[#This Row],[adddind SP equity]],"")</f>
        <v>DBS sp equity</v>
      </c>
    </row>
    <row r="8" spans="1:10" x14ac:dyDescent="0.3">
      <c r="A8" t="str">
        <f>'STI ETF '!E12</f>
        <v>DAIRY FARMINTL HLDGS LTD</v>
      </c>
      <c r="B8" t="str">
        <f>'STI ETF '!B12</f>
        <v>'DFI</v>
      </c>
      <c r="C8" t="str">
        <f t="shared" si="0"/>
        <v>DFI</v>
      </c>
      <c r="D8" t="s">
        <v>321</v>
      </c>
      <c r="E8" t="str">
        <f t="shared" si="1"/>
        <v>DFI sp equity</v>
      </c>
      <c r="G8" s="3"/>
      <c r="H8" s="3"/>
      <c r="I8" s="3"/>
      <c r="J8" t="str">
        <f>IF(I8=C8,Table2[[#This Row],[adddind SP equity]],"")</f>
        <v/>
      </c>
    </row>
    <row r="9" spans="1:10" x14ac:dyDescent="0.3">
      <c r="A9" t="str">
        <f>'STI ETF '!E28</f>
        <v>GENTING SINGAPORE LTD</v>
      </c>
      <c r="B9" t="str">
        <f>'STI ETF '!B28</f>
        <v>'GENS</v>
      </c>
      <c r="C9" t="str">
        <f t="shared" si="0"/>
        <v>GENS</v>
      </c>
      <c r="D9" t="s">
        <v>321</v>
      </c>
      <c r="E9" t="str">
        <f t="shared" si="1"/>
        <v>GENS sp equity</v>
      </c>
      <c r="G9" s="3"/>
      <c r="H9" s="3"/>
      <c r="I9" s="3"/>
      <c r="J9" t="str">
        <f>IF(I9=C9,Table2[[#This Row],[adddind SP equity]],"")</f>
        <v/>
      </c>
    </row>
    <row r="10" spans="1:10" x14ac:dyDescent="0.3">
      <c r="A10" t="str">
        <f>'STI ETF '!E19</f>
        <v>HONGKONG LAND HOLDINGS LTD</v>
      </c>
      <c r="B10" t="str">
        <f>'STI ETF '!B19</f>
        <v>'HKL</v>
      </c>
      <c r="C10" t="str">
        <f t="shared" si="0"/>
        <v>HKL</v>
      </c>
      <c r="D10" t="s">
        <v>321</v>
      </c>
      <c r="E10" t="str">
        <f t="shared" si="1"/>
        <v>HKL sp equity</v>
      </c>
      <c r="G10" t="str">
        <f>'SiMSCI '!B25</f>
        <v>MAPLETREE LOGISTICS</v>
      </c>
      <c r="H10" t="str">
        <f>'SiMSCI '!K25</f>
        <v>MAPL.SI</v>
      </c>
      <c r="I10" t="s">
        <v>358</v>
      </c>
      <c r="J10" t="str">
        <f>IF(I10=C10,Table2[[#This Row],[adddind SP equity]],"")</f>
        <v/>
      </c>
    </row>
    <row r="11" spans="1:10" x14ac:dyDescent="0.3">
      <c r="A11" t="str">
        <f>'STI ETF '!E14</f>
        <v>JARDINE CYCLE + CARRIAGE LTD</v>
      </c>
      <c r="B11" t="str">
        <f>'STI ETF '!B14</f>
        <v>'JCNC</v>
      </c>
      <c r="C11" t="str">
        <f t="shared" si="0"/>
        <v>JCNC</v>
      </c>
      <c r="D11" t="s">
        <v>321</v>
      </c>
      <c r="E11" t="str">
        <f t="shared" si="1"/>
        <v>JCNC sp equity</v>
      </c>
      <c r="G11" s="3"/>
      <c r="H11" s="3"/>
      <c r="I11" s="3"/>
      <c r="J11" t="str">
        <f>IF(I11=C11,Table2[[#This Row],[adddind SP equity]],"")</f>
        <v/>
      </c>
    </row>
    <row r="12" spans="1:10" x14ac:dyDescent="0.3">
      <c r="A12" t="str">
        <f>'STI ETF '!E20</f>
        <v>JARDINE MATHESON HOLDINGS LTD</v>
      </c>
      <c r="B12" t="str">
        <f>'STI ETF '!B20</f>
        <v>'JM</v>
      </c>
      <c r="C12" t="str">
        <f t="shared" si="0"/>
        <v>JM</v>
      </c>
      <c r="D12" t="s">
        <v>321</v>
      </c>
      <c r="E12" t="str">
        <f t="shared" si="1"/>
        <v>JM sp equity</v>
      </c>
      <c r="G12" s="3"/>
      <c r="H12" s="3"/>
      <c r="I12" s="3"/>
      <c r="J12" t="str">
        <f>IF(I12=C12,Table2[[#This Row],[adddind SP equity]],"")</f>
        <v/>
      </c>
    </row>
    <row r="13" spans="1:10" x14ac:dyDescent="0.3">
      <c r="A13" t="str">
        <f>'STI ETF '!E21</f>
        <v>JARDINE STRATEGIC HLDGS LTD</v>
      </c>
      <c r="B13" t="str">
        <f>'STI ETF '!B21</f>
        <v>'JS</v>
      </c>
      <c r="C13" t="str">
        <f t="shared" si="0"/>
        <v>JS</v>
      </c>
      <c r="D13" t="s">
        <v>321</v>
      </c>
      <c r="E13" t="str">
        <f t="shared" si="1"/>
        <v>JS sp equity</v>
      </c>
      <c r="G13" s="3"/>
      <c r="H13" s="3"/>
      <c r="I13" s="3"/>
      <c r="J13" t="str">
        <f>IF(I13=C13,Table2[[#This Row],[adddind SP equity]],"")</f>
        <v/>
      </c>
    </row>
    <row r="14" spans="1:10" x14ac:dyDescent="0.3">
      <c r="A14" t="str">
        <f>'STI ETF '!E31</f>
        <v>KEPPEL DCREIT</v>
      </c>
      <c r="B14" t="str">
        <f>'STI ETF '!B31</f>
        <v>'KDCREIT</v>
      </c>
      <c r="C14" t="str">
        <f t="shared" si="0"/>
        <v>KDCREIT</v>
      </c>
      <c r="D14" t="s">
        <v>321</v>
      </c>
      <c r="E14" t="str">
        <f t="shared" si="1"/>
        <v>KDCREIT sp equity</v>
      </c>
      <c r="G14" s="3"/>
      <c r="H14" s="3"/>
      <c r="I14" s="3"/>
      <c r="J14" t="str">
        <f>IF(I14=C14,Table2[[#This Row],[adddind SP equity]],"")</f>
        <v/>
      </c>
    </row>
    <row r="15" spans="1:10" x14ac:dyDescent="0.3">
      <c r="A15" t="str">
        <f>'STI ETF '!E38</f>
        <v>KEPPEL CORP LTD</v>
      </c>
      <c r="B15" t="str">
        <f>'STI ETF '!B38</f>
        <v>'KEP</v>
      </c>
      <c r="C15" t="str">
        <f t="shared" si="0"/>
        <v>KEP</v>
      </c>
      <c r="D15" t="s">
        <v>321</v>
      </c>
      <c r="E15" t="str">
        <f t="shared" si="1"/>
        <v>KEP sp equity</v>
      </c>
      <c r="G15" t="str">
        <f>'SiMSCI '!B23</f>
        <v>SINGAPORE AIRLINES</v>
      </c>
      <c r="H15" t="str">
        <f>'SiMSCI '!K23</f>
        <v>SIAL.SI</v>
      </c>
      <c r="I15" t="s">
        <v>364</v>
      </c>
      <c r="J15" t="str">
        <f>IF(I15=C15,Table2[[#This Row],[adddind SP equity]],"")</f>
        <v>KEP sp equity</v>
      </c>
    </row>
    <row r="16" spans="1:10" x14ac:dyDescent="0.3">
      <c r="A16" t="str">
        <f>'STI ETF '!E30</f>
        <v>MAPLETREECOMMERCIAL TRUST</v>
      </c>
      <c r="B16" t="str">
        <f>'STI ETF '!B30</f>
        <v>'MCT</v>
      </c>
      <c r="C16" t="str">
        <f t="shared" si="0"/>
        <v>MCT</v>
      </c>
      <c r="D16" t="s">
        <v>321</v>
      </c>
      <c r="E16" t="str">
        <f t="shared" si="1"/>
        <v>MCT sp equity</v>
      </c>
      <c r="G16" t="str">
        <f>'SiMSCI '!B28</f>
        <v>MAPLETREE COMM TRUST</v>
      </c>
      <c r="H16" t="str">
        <f>'SiMSCI '!K28</f>
        <v>MACT.SI</v>
      </c>
      <c r="I16" t="s">
        <v>359</v>
      </c>
      <c r="J16" t="str">
        <f>IF(I16=C16,Table2[[#This Row],[adddind SP equity]],"")</f>
        <v>MCT sp equity</v>
      </c>
    </row>
    <row r="17" spans="1:10" x14ac:dyDescent="0.3">
      <c r="A17" t="str">
        <f>'STI ETF '!E29</f>
        <v>MAPLETREEINDUSTRIAL TRUST</v>
      </c>
      <c r="B17" t="str">
        <f>'STI ETF '!B29</f>
        <v>'MINT</v>
      </c>
      <c r="C17" t="str">
        <f t="shared" si="0"/>
        <v>MINT</v>
      </c>
      <c r="D17" t="s">
        <v>321</v>
      </c>
      <c r="E17" t="str">
        <f t="shared" si="1"/>
        <v>MINT sp equity</v>
      </c>
      <c r="G17" s="3"/>
      <c r="H17" s="3"/>
      <c r="I17" s="3"/>
      <c r="J17" t="str">
        <f>IF(I17=C17,Table2[[#This Row],[adddind SP equity]],"")</f>
        <v/>
      </c>
    </row>
    <row r="18" spans="1:10" x14ac:dyDescent="0.3">
      <c r="A18" t="str">
        <f>'STI ETF '!E34</f>
        <v>MAPLETREELOGISTICS TRUST</v>
      </c>
      <c r="B18" t="str">
        <f>'STI ETF '!B34</f>
        <v>'MLT</v>
      </c>
      <c r="C18" t="str">
        <f t="shared" si="0"/>
        <v>MLT</v>
      </c>
      <c r="D18" t="s">
        <v>321</v>
      </c>
      <c r="E18" t="str">
        <f t="shared" si="1"/>
        <v>MLT sp equity</v>
      </c>
      <c r="G18" t="str">
        <f>'SiMSCI '!B27</f>
        <v>GENTING SINGAPORE</v>
      </c>
      <c r="H18" t="str">
        <f>'SiMSCI '!K27</f>
        <v>GENS.SI</v>
      </c>
      <c r="I18" t="s">
        <v>361</v>
      </c>
      <c r="J18" t="str">
        <f>IF(I18=C18,Table2[[#This Row],[adddind SP equity]],"")</f>
        <v>MLT sp equity</v>
      </c>
    </row>
    <row r="19" spans="1:10" x14ac:dyDescent="0.3">
      <c r="A19" t="str">
        <f>'STI ETF '!E35</f>
        <v>OVERSEA-CHINESE BANKING CORP L</v>
      </c>
      <c r="B19" t="str">
        <f>'STI ETF '!B35</f>
        <v>'OCBC</v>
      </c>
      <c r="C19" t="str">
        <f t="shared" si="0"/>
        <v>OCBC</v>
      </c>
      <c r="D19" t="s">
        <v>321</v>
      </c>
      <c r="E19" t="str">
        <f t="shared" si="1"/>
        <v>OCBC sp equity</v>
      </c>
      <c r="G19" t="str">
        <f>'SiMSCI '!B14</f>
        <v>OCBC BANK</v>
      </c>
      <c r="H19" t="str">
        <f>'SiMSCI '!K14</f>
        <v>OCBC.SI</v>
      </c>
      <c r="I19" t="s">
        <v>362</v>
      </c>
      <c r="J19" t="str">
        <f>IF(I19=C19,Table2[[#This Row],[adddind SP equity]],"")</f>
        <v>OCBC sp equity</v>
      </c>
    </row>
    <row r="20" spans="1:10" x14ac:dyDescent="0.3">
      <c r="A20" t="str">
        <f>'STI ETF '!E15</f>
        <v>SATS LTD</v>
      </c>
      <c r="B20" t="str">
        <f>'STI ETF '!B15</f>
        <v>'SATS</v>
      </c>
      <c r="C20" t="str">
        <f t="shared" si="0"/>
        <v>SATS</v>
      </c>
      <c r="D20" t="s">
        <v>321</v>
      </c>
      <c r="E20" t="str">
        <f t="shared" si="1"/>
        <v>SATS sp equity</v>
      </c>
      <c r="G20" s="3"/>
      <c r="H20" s="3"/>
      <c r="I20" s="3"/>
      <c r="J20" t="str">
        <f>IF(I20=C20,Table2[[#This Row],[adddind SP equity]],"")</f>
        <v/>
      </c>
    </row>
    <row r="21" spans="1:10" x14ac:dyDescent="0.3">
      <c r="A21" t="str">
        <f>'STI ETF '!E33</f>
        <v>SEMBCORP INDUSTRIES LTD</v>
      </c>
      <c r="B21" t="str">
        <f>'STI ETF '!B33</f>
        <v>'SCI</v>
      </c>
      <c r="C21" t="str">
        <f t="shared" si="0"/>
        <v>SCI</v>
      </c>
      <c r="D21" t="s">
        <v>321</v>
      </c>
      <c r="E21" t="str">
        <f t="shared" si="1"/>
        <v>SCI sp equity</v>
      </c>
      <c r="G21" s="3"/>
      <c r="H21" s="3"/>
      <c r="I21" s="3"/>
      <c r="J21" t="str">
        <f>IF(I21=C21,Table2[[#This Row],[adddind SP equity]],"")</f>
        <v/>
      </c>
    </row>
    <row r="22" spans="1:10" x14ac:dyDescent="0.3">
      <c r="A22" t="str">
        <f>'STI ETF '!E16</f>
        <v>SINGAPOREEXCHANGE LTD</v>
      </c>
      <c r="B22" t="str">
        <f>'STI ETF '!B16</f>
        <v>'SGX</v>
      </c>
      <c r="C22" t="str">
        <f t="shared" si="0"/>
        <v>SGX</v>
      </c>
      <c r="D22" t="s">
        <v>321</v>
      </c>
      <c r="E22" t="str">
        <f t="shared" si="1"/>
        <v>SGX sp equity</v>
      </c>
      <c r="G22" t="str">
        <f>'SiMSCI '!B21</f>
        <v>KEPPEL CORP</v>
      </c>
      <c r="H22" t="str">
        <f>'SiMSCI '!K21</f>
        <v>KPLM.SI</v>
      </c>
      <c r="I22" t="str">
        <f>REPLACE(H22,4,7,"")</f>
        <v>KPL</v>
      </c>
      <c r="J22" t="str">
        <f>IF(I22=C22,Table2[[#This Row],[adddind SP equity]],"")</f>
        <v/>
      </c>
    </row>
    <row r="23" spans="1:10" x14ac:dyDescent="0.3">
      <c r="A23" t="str">
        <f>'STI ETF '!E24</f>
        <v>SINGAPOREAIRLINES LTD</v>
      </c>
      <c r="B23" t="str">
        <f>'STI ETF '!B24</f>
        <v>'SIA</v>
      </c>
      <c r="C23" t="str">
        <f t="shared" si="0"/>
        <v>SIA</v>
      </c>
      <c r="D23" t="s">
        <v>321</v>
      </c>
      <c r="E23" t="str">
        <f t="shared" si="1"/>
        <v>SIA sp equity</v>
      </c>
      <c r="G23" t="str">
        <f>'SiMSCI '!B22</f>
        <v>SINGAPORE EXCHANGE</v>
      </c>
      <c r="H23" t="str">
        <f>'SiMSCI '!K22</f>
        <v>SGXL.SI</v>
      </c>
      <c r="I23" t="str">
        <f>REPLACE(H23,4,7,"")</f>
        <v>SGX</v>
      </c>
      <c r="J23" t="str">
        <f>IF(I23=C23,Table2[[#This Row],[adddind SP equity]],"")</f>
        <v/>
      </c>
    </row>
    <row r="24" spans="1:10" x14ac:dyDescent="0.3">
      <c r="A24" t="str">
        <f>'STI ETF '!E32</f>
        <v>SINGAPORETELECOMMUNICATIONS</v>
      </c>
      <c r="B24" t="str">
        <f>'STI ETF '!B32</f>
        <v>'ST</v>
      </c>
      <c r="C24" t="str">
        <f t="shared" si="0"/>
        <v>ST</v>
      </c>
      <c r="D24" t="s">
        <v>321</v>
      </c>
      <c r="E24" t="str">
        <f t="shared" si="1"/>
        <v>ST sp equity</v>
      </c>
      <c r="G24" t="str">
        <f>'SiMSCI '!B16</f>
        <v>SINGAPORE TELECOM</v>
      </c>
      <c r="H24" t="str">
        <f>'SiMSCI '!K16</f>
        <v>STEL.SI</v>
      </c>
      <c r="I24" t="s">
        <v>360</v>
      </c>
      <c r="J24" t="str">
        <f>IF(I24=C24,Table2[[#This Row],[adddind SP equity]],"")</f>
        <v>ST sp equity</v>
      </c>
    </row>
    <row r="25" spans="1:10" x14ac:dyDescent="0.3">
      <c r="A25" t="str">
        <f>'STI ETF '!E10</f>
        <v>SINGAPORETECH ENGINEERING</v>
      </c>
      <c r="B25" t="str">
        <f>'STI ETF '!B10</f>
        <v>'STE</v>
      </c>
      <c r="C25" t="str">
        <f t="shared" si="0"/>
        <v>STE</v>
      </c>
      <c r="D25" t="s">
        <v>321</v>
      </c>
      <c r="E25" t="str">
        <f t="shared" si="1"/>
        <v>STE sp equity</v>
      </c>
      <c r="G25" t="str">
        <f>'SiMSCI '!B24</f>
        <v>SINGAPORE TECH ENGR</v>
      </c>
      <c r="H25" t="str">
        <f>'SiMSCI '!K24</f>
        <v>STEG.SI</v>
      </c>
      <c r="I25" t="str">
        <f>REPLACE(H25,4,7,"")</f>
        <v>STE</v>
      </c>
      <c r="J25" t="str">
        <f>IF(I25=C25,Table2[[#This Row],[adddind SP equity]],"")</f>
        <v>STE sp equity</v>
      </c>
    </row>
    <row r="26" spans="1:10" x14ac:dyDescent="0.3">
      <c r="A26" t="str">
        <f>'STI ETF '!E36</f>
        <v>THAI BEVERAGE PCL</v>
      </c>
      <c r="B26" t="str">
        <f>'STI ETF '!B36</f>
        <v>'THBEV</v>
      </c>
      <c r="C26" t="str">
        <f t="shared" si="0"/>
        <v>THBEV</v>
      </c>
      <c r="D26" t="s">
        <v>321</v>
      </c>
      <c r="E26" t="str">
        <f t="shared" si="1"/>
        <v>THBEV sp equity</v>
      </c>
      <c r="G26" s="2" t="str">
        <f>'SiMSCI '!B31</f>
        <v>SUNTEC REIT</v>
      </c>
      <c r="H26" s="2" t="str">
        <f>'SiMSCI '!K31</f>
        <v>SUNT.SI</v>
      </c>
      <c r="I26" s="2" t="str">
        <f>REPLACE(H26,4,7,"")</f>
        <v>SUN</v>
      </c>
      <c r="J26" t="str">
        <f>IF(I26=C26,Table2[[#This Row],[adddind SP equity]],"")</f>
        <v/>
      </c>
    </row>
    <row r="27" spans="1:10" x14ac:dyDescent="0.3">
      <c r="A27" t="str">
        <f>'STI ETF '!E25</f>
        <v>UNITED OVERSEAS BANK LTD</v>
      </c>
      <c r="B27" t="str">
        <f>'STI ETF '!B25</f>
        <v>'UOB</v>
      </c>
      <c r="C27" t="str">
        <f t="shared" si="0"/>
        <v>UOB</v>
      </c>
      <c r="D27" t="s">
        <v>321</v>
      </c>
      <c r="E27" t="str">
        <f t="shared" si="1"/>
        <v>UOB sp equity</v>
      </c>
      <c r="G27" t="str">
        <f>'SiMSCI '!B15</f>
        <v>UNITED OVERSEAS BANK</v>
      </c>
      <c r="H27" t="str">
        <f>'SiMSCI '!K15</f>
        <v>UOBH.SI</v>
      </c>
      <c r="I27" t="str">
        <f>REPLACE(H27,4,7,"")</f>
        <v>UOB</v>
      </c>
      <c r="J27" t="str">
        <f>IF(I27=C27,Table2[[#This Row],[adddind SP equity]],"")</f>
        <v>UOB sp equity</v>
      </c>
    </row>
    <row r="28" spans="1:10" x14ac:dyDescent="0.3">
      <c r="A28" t="str">
        <f>'STI ETF '!E26</f>
        <v>UOL GROUPLTD</v>
      </c>
      <c r="B28" t="str">
        <f>'STI ETF '!B26</f>
        <v>'UOL</v>
      </c>
      <c r="C28" t="str">
        <f t="shared" si="0"/>
        <v>UOL</v>
      </c>
      <c r="D28" t="s">
        <v>321</v>
      </c>
      <c r="E28" t="str">
        <f t="shared" si="1"/>
        <v>UOL sp equity</v>
      </c>
      <c r="G28" t="str">
        <f>'SiMSCI '!B29</f>
        <v>CITY DEVELOPMENTS</v>
      </c>
      <c r="H28" t="str">
        <f>'SiMSCI '!K29</f>
        <v>CTDM.SI</v>
      </c>
      <c r="I28" t="s">
        <v>356</v>
      </c>
      <c r="J28" t="str">
        <f>IF(I28=C28,Table2[[#This Row],[adddind SP equity]],"")</f>
        <v>UOL sp equity</v>
      </c>
    </row>
    <row r="29" spans="1:10" x14ac:dyDescent="0.3">
      <c r="A29" t="str">
        <f>'STI ETF '!E27</f>
        <v>VENTURE CORP LTD</v>
      </c>
      <c r="B29" t="str">
        <f>'STI ETF '!B27</f>
        <v>'VMS</v>
      </c>
      <c r="C29" t="str">
        <f t="shared" si="0"/>
        <v>VMS</v>
      </c>
      <c r="D29" t="s">
        <v>321</v>
      </c>
      <c r="E29" t="str">
        <f t="shared" si="1"/>
        <v>VMS sp equity</v>
      </c>
      <c r="G29" t="str">
        <f>'SiMSCI '!B26</f>
        <v>VENTURE CORP</v>
      </c>
      <c r="H29" t="str">
        <f>'SiMSCI '!K26</f>
        <v>VENM.SI</v>
      </c>
      <c r="I29" t="s">
        <v>357</v>
      </c>
      <c r="J29" t="str">
        <f>IF(I29=C29,Table2[[#This Row],[adddind SP equity]],"")</f>
        <v>VMS sp equity</v>
      </c>
    </row>
    <row r="30" spans="1:10" x14ac:dyDescent="0.3">
      <c r="A30" t="str">
        <f>'STI ETF '!E37</f>
        <v>WILMAR INTERNATIONAL LTD</v>
      </c>
      <c r="B30" t="str">
        <f>'STI ETF '!B37</f>
        <v>'WIL</v>
      </c>
      <c r="C30" t="str">
        <f t="shared" si="0"/>
        <v>WIL</v>
      </c>
      <c r="D30" t="s">
        <v>321</v>
      </c>
      <c r="E30" t="str">
        <f t="shared" si="1"/>
        <v>WIL sp equity</v>
      </c>
      <c r="G30" t="str">
        <f>'SiMSCI '!B17</f>
        <v>WILMAR INTERNATIONAL</v>
      </c>
      <c r="H30" t="str">
        <f>'SiMSCI '!K17</f>
        <v>WLIL.SI</v>
      </c>
      <c r="I30" t="s">
        <v>363</v>
      </c>
      <c r="J30" t="str">
        <f>IF(I30=C30,Table2[[#This Row],[adddind SP equity]],"")</f>
        <v>WIL sp equity</v>
      </c>
    </row>
    <row r="31" spans="1:10" x14ac:dyDescent="0.3">
      <c r="A31" t="str">
        <f>'STI ETF '!E39</f>
        <v>YANGZIJIANG SHIPBUILDING</v>
      </c>
      <c r="B31" t="str">
        <f>'STI ETF '!B39</f>
        <v>'YZJSGD</v>
      </c>
      <c r="C31" t="str">
        <f t="shared" si="0"/>
        <v>YZJSGD</v>
      </c>
      <c r="D31" t="s">
        <v>321</v>
      </c>
      <c r="E31" t="str">
        <f t="shared" si="1"/>
        <v>YZJSGD sp equity</v>
      </c>
      <c r="G31" s="3"/>
      <c r="H31" s="3"/>
      <c r="I31" s="3"/>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Q174"/>
  <sheetViews>
    <sheetView workbookViewId="0">
      <selection activeCell="A174" sqref="A174:K174"/>
    </sheetView>
  </sheetViews>
  <sheetFormatPr defaultRowHeight="14.4" x14ac:dyDescent="0.3"/>
  <cols>
    <col min="1" max="1" width="13.44140625" style="153" customWidth="1"/>
    <col min="2" max="2" width="23.5546875" bestFit="1" customWidth="1"/>
    <col min="3" max="3" width="17.6640625" bestFit="1" customWidth="1"/>
    <col min="4" max="4" width="12.6640625" bestFit="1" customWidth="1"/>
    <col min="5" max="5" width="18" bestFit="1" customWidth="1"/>
    <col min="6" max="6" width="4.33203125" bestFit="1" customWidth="1"/>
    <col min="7" max="7" width="16.109375" bestFit="1" customWidth="1"/>
    <col min="8" max="8" width="11.109375" bestFit="1" customWidth="1"/>
    <col min="9" max="9" width="4.33203125" bestFit="1" customWidth="1"/>
    <col min="10" max="10" width="10.5546875" bestFit="1" customWidth="1"/>
    <col min="11" max="11" width="4.33203125" bestFit="1" customWidth="1"/>
  </cols>
  <sheetData>
    <row r="1" spans="1:17" x14ac:dyDescent="0.3">
      <c r="A1" s="153" t="str">
        <f>Spread!A12</f>
        <v xml:space="preserve">Time </v>
      </c>
      <c r="B1" s="19" t="str">
        <f>Spread!B12</f>
        <v>SiMSCI Futures Fair value</v>
      </c>
      <c r="C1" s="19" t="str">
        <f>Spread!C12</f>
        <v>SiMSCI Futures Bid</v>
      </c>
      <c r="D1" s="19" t="str">
        <f>Spread!D12</f>
        <v>BPS</v>
      </c>
      <c r="E1" s="19" t="str">
        <f>Spread!E12</f>
        <v>SiMSCI Futures Ask</v>
      </c>
      <c r="F1" s="19" t="str">
        <f>Spread!F12</f>
        <v>BPS</v>
      </c>
      <c r="G1" s="19" t="str">
        <f>Spread!G12</f>
        <v>STI ETF Fair value</v>
      </c>
      <c r="H1" s="19" t="str">
        <f>Spread!H12</f>
        <v xml:space="preserve">STI ETF  Bid </v>
      </c>
      <c r="I1" s="19" t="str">
        <f>Spread!I12</f>
        <v>BPS</v>
      </c>
      <c r="J1" s="19" t="str">
        <f>Spread!J12</f>
        <v>STI ETF Ask</v>
      </c>
      <c r="K1" s="19" t="str">
        <f>Spread!K12</f>
        <v>BPS</v>
      </c>
      <c r="L1" s="19">
        <f>Spread!L12</f>
        <v>0</v>
      </c>
      <c r="M1" s="19">
        <f>Spread!M12</f>
        <v>0</v>
      </c>
      <c r="N1" s="19">
        <f>Spread!N13</f>
        <v>0</v>
      </c>
      <c r="O1" s="19">
        <f>Spread!O13</f>
        <v>0</v>
      </c>
      <c r="P1" s="19">
        <f>Spread!P13</f>
        <v>0</v>
      </c>
      <c r="Q1" s="19">
        <f>Spread!Q13</f>
        <v>0</v>
      </c>
    </row>
    <row r="2" spans="1:17" x14ac:dyDescent="0.3">
      <c r="A2" s="153">
        <v>44292.420175925923</v>
      </c>
      <c r="B2" s="19">
        <v>362.17695749432772</v>
      </c>
      <c r="C2" s="19">
        <v>362.05</v>
      </c>
      <c r="D2" s="19">
        <v>-3.5053995484983456</v>
      </c>
      <c r="E2" s="19">
        <v>362.1</v>
      </c>
      <c r="F2" s="19">
        <v>-2.1248589324986527</v>
      </c>
      <c r="G2" s="19">
        <v>3.2180549801859994</v>
      </c>
      <c r="H2" s="19">
        <v>3.2160000000000002</v>
      </c>
      <c r="I2" s="19">
        <v>-6.3857833338835013</v>
      </c>
      <c r="J2" s="19">
        <v>3.2210000000000001</v>
      </c>
      <c r="K2" s="19">
        <v>9.1515522019776672</v>
      </c>
    </row>
    <row r="3" spans="1:17" x14ac:dyDescent="0.3">
      <c r="A3" s="153">
        <v>44292.423481134261</v>
      </c>
      <c r="B3" s="19">
        <v>362.01443518285618</v>
      </c>
      <c r="C3" s="19">
        <v>362.15</v>
      </c>
      <c r="D3" s="19">
        <v>3.7447351256953931</v>
      </c>
      <c r="E3" s="19">
        <v>362.2</v>
      </c>
      <c r="F3" s="19">
        <v>5.125895519886746</v>
      </c>
      <c r="G3" s="19">
        <v>3.2169335154000005</v>
      </c>
      <c r="H3" s="19">
        <v>3.2160000000000002</v>
      </c>
      <c r="I3" s="19">
        <v>-2.9018796799231681</v>
      </c>
      <c r="J3" s="19">
        <v>3.22</v>
      </c>
      <c r="K3" s="19">
        <v>9.5323219622659927</v>
      </c>
    </row>
    <row r="4" spans="1:17" x14ac:dyDescent="0.3">
      <c r="A4" s="153">
        <v>44292.423996296297</v>
      </c>
      <c r="B4" s="19">
        <v>362.01642619004622</v>
      </c>
      <c r="C4" s="19">
        <v>362.1</v>
      </c>
      <c r="D4" s="19">
        <v>2.3085640293551606</v>
      </c>
      <c r="E4" s="19">
        <v>362.2</v>
      </c>
      <c r="F4" s="19">
        <v>5.0708696256064565</v>
      </c>
      <c r="G4" s="19">
        <v>3.2168384353999997</v>
      </c>
      <c r="H4" s="19">
        <v>3.2160000000000002</v>
      </c>
      <c r="I4" s="19">
        <v>-2.6063957417719941</v>
      </c>
      <c r="J4" s="19">
        <v>3.22</v>
      </c>
      <c r="K4" s="19">
        <v>9.8281734177531774</v>
      </c>
    </row>
    <row r="5" spans="1:17" x14ac:dyDescent="0.3">
      <c r="A5" s="153">
        <v>44292.426839467589</v>
      </c>
      <c r="B5" s="19">
        <v>362.06106233752757</v>
      </c>
      <c r="C5" s="19">
        <v>361.8</v>
      </c>
      <c r="D5" s="19">
        <v>-7.2104505201995366</v>
      </c>
      <c r="E5" s="19">
        <v>361.9</v>
      </c>
      <c r="F5" s="19">
        <v>-4.4484854705930159</v>
      </c>
      <c r="G5" s="19">
        <v>3.2160416793620001</v>
      </c>
      <c r="H5" s="19">
        <v>3.2149999999999999</v>
      </c>
      <c r="I5" s="19">
        <v>-3.239010764956658</v>
      </c>
      <c r="J5" s="19">
        <v>3.2170000000000001</v>
      </c>
      <c r="K5" s="19">
        <v>2.9798141117065846</v>
      </c>
    </row>
    <row r="6" spans="1:17" x14ac:dyDescent="0.3">
      <c r="A6" s="153">
        <v>44292.42689826389</v>
      </c>
      <c r="B6" s="19">
        <v>361.96007984285995</v>
      </c>
      <c r="C6" s="19">
        <v>361.8</v>
      </c>
      <c r="D6" s="19">
        <v>-4.4225828143655992</v>
      </c>
      <c r="E6" s="19">
        <v>361.85</v>
      </c>
      <c r="F6" s="19">
        <v>-3.0412150121008246</v>
      </c>
      <c r="G6" s="19">
        <v>3.215607439362</v>
      </c>
      <c r="H6" s="19">
        <v>3.2149999999999999</v>
      </c>
      <c r="I6" s="19">
        <v>-1.8890345710876322</v>
      </c>
      <c r="J6" s="19">
        <v>3.2170000000000001</v>
      </c>
      <c r="K6" s="19">
        <v>4.3306301041410036</v>
      </c>
    </row>
    <row r="7" spans="1:17" x14ac:dyDescent="0.3">
      <c r="A7" s="153">
        <v>44292.426956944444</v>
      </c>
      <c r="B7" s="19">
        <v>361.91727749908688</v>
      </c>
      <c r="C7" s="19">
        <v>361.8</v>
      </c>
      <c r="D7" s="19">
        <v>-3.2404504116873327</v>
      </c>
      <c r="E7" s="19">
        <v>361.85</v>
      </c>
      <c r="F7" s="19">
        <v>-1.8589192412077049</v>
      </c>
      <c r="G7" s="19">
        <v>3.2153809393620003</v>
      </c>
      <c r="H7" s="19">
        <v>3.2149999999999999</v>
      </c>
      <c r="I7" s="19">
        <v>-1.1847409970528737</v>
      </c>
      <c r="J7" s="19">
        <v>3.2170000000000001</v>
      </c>
      <c r="K7" s="19">
        <v>5.0353618079263276</v>
      </c>
    </row>
    <row r="8" spans="1:17" x14ac:dyDescent="0.3">
      <c r="A8" s="153">
        <v>44292.427015740737</v>
      </c>
      <c r="B8" s="19">
        <v>362.00081856980688</v>
      </c>
      <c r="C8" s="19">
        <v>361.75</v>
      </c>
      <c r="D8" s="19">
        <v>-6.9286741062579811</v>
      </c>
      <c r="E8" s="19">
        <v>361.85</v>
      </c>
      <c r="F8" s="19">
        <v>-4.1662494135431194</v>
      </c>
      <c r="G8" s="19">
        <v>3.2160637793619999</v>
      </c>
      <c r="H8" s="19">
        <v>3.2149999999999999</v>
      </c>
      <c r="I8" s="19">
        <v>-3.3077060499438078</v>
      </c>
      <c r="J8" s="19">
        <v>3.2170000000000001</v>
      </c>
      <c r="K8" s="19">
        <v>2.911076092483051</v>
      </c>
    </row>
    <row r="9" spans="1:17" x14ac:dyDescent="0.3">
      <c r="A9" s="153">
        <v>44292.427073611114</v>
      </c>
      <c r="B9" s="19">
        <v>361.9511451584811</v>
      </c>
      <c r="C9" s="19">
        <v>361.8</v>
      </c>
      <c r="D9" s="19">
        <v>-4.1758441851290851</v>
      </c>
      <c r="E9" s="19">
        <v>361.85</v>
      </c>
      <c r="F9" s="19">
        <v>-2.7944422841040519</v>
      </c>
      <c r="G9" s="19">
        <v>3.2157018793620002</v>
      </c>
      <c r="H9" s="19">
        <v>3.2160000000000002</v>
      </c>
      <c r="I9" s="19">
        <v>0.92707797297145911</v>
      </c>
      <c r="J9" s="19">
        <v>3.2170000000000001</v>
      </c>
      <c r="K9" s="19">
        <v>4.0368189798035079</v>
      </c>
    </row>
    <row r="10" spans="1:17" x14ac:dyDescent="0.3">
      <c r="A10" s="153">
        <v>44292.427131712961</v>
      </c>
      <c r="B10" s="19">
        <v>361.99672851875425</v>
      </c>
      <c r="C10" s="19">
        <v>361.8</v>
      </c>
      <c r="D10" s="19">
        <v>-5.4345385815841567</v>
      </c>
      <c r="E10" s="19">
        <v>361.85</v>
      </c>
      <c r="F10" s="19">
        <v>-4.0533106294806895</v>
      </c>
      <c r="G10" s="19">
        <v>3.2161977308959999</v>
      </c>
      <c r="H10" s="19">
        <v>3.2160000000000002</v>
      </c>
      <c r="I10" s="19">
        <v>-0.61479707575267795</v>
      </c>
      <c r="J10" s="19">
        <v>3.2170000000000001</v>
      </c>
      <c r="K10" s="19">
        <v>2.4944644923204393</v>
      </c>
    </row>
    <row r="11" spans="1:17" x14ac:dyDescent="0.3">
      <c r="A11" s="153">
        <v>44292.427187615744</v>
      </c>
      <c r="B11" s="19">
        <v>362.01655447488884</v>
      </c>
      <c r="C11" s="19">
        <v>361.8</v>
      </c>
      <c r="D11" s="19">
        <v>-5.9818942590329796</v>
      </c>
      <c r="E11" s="19">
        <v>361.9</v>
      </c>
      <c r="F11" s="19">
        <v>-3.2195896416373024</v>
      </c>
      <c r="G11" s="19">
        <v>3.2164236108960003</v>
      </c>
      <c r="H11" s="19">
        <v>3.2160000000000002</v>
      </c>
      <c r="I11" s="19">
        <v>-1.3170245814793815</v>
      </c>
      <c r="J11" s="19">
        <v>3.2170000000000001</v>
      </c>
      <c r="K11" s="19">
        <v>1.7920186322698157</v>
      </c>
    </row>
    <row r="12" spans="1:17" x14ac:dyDescent="0.3">
      <c r="A12" s="153">
        <v>44292.427246296298</v>
      </c>
      <c r="B12" s="19">
        <v>362.01655447488884</v>
      </c>
      <c r="C12" s="19">
        <v>361.8</v>
      </c>
      <c r="D12" s="19">
        <v>-5.9818942590329796</v>
      </c>
      <c r="E12" s="19">
        <v>361.9</v>
      </c>
      <c r="F12" s="19">
        <v>-3.2195896416373024</v>
      </c>
      <c r="G12" s="19">
        <v>3.2162980908960002</v>
      </c>
      <c r="H12" s="19">
        <v>3.2160000000000002</v>
      </c>
      <c r="I12" s="19">
        <v>-0.92681364592336968</v>
      </c>
      <c r="J12" s="19">
        <v>3.2170000000000001</v>
      </c>
      <c r="K12" s="19">
        <v>2.1823509020719585</v>
      </c>
    </row>
    <row r="13" spans="1:17" x14ac:dyDescent="0.3">
      <c r="A13" s="153">
        <v>44292.427303935183</v>
      </c>
      <c r="B13" s="19">
        <v>361.89336149189961</v>
      </c>
      <c r="C13" s="19">
        <v>361.85</v>
      </c>
      <c r="D13" s="19">
        <v>-1.198184230869324</v>
      </c>
      <c r="E13" s="19">
        <v>361.9</v>
      </c>
      <c r="F13" s="19">
        <v>0.18343823918180707</v>
      </c>
      <c r="G13" s="19">
        <v>3.215646250896</v>
      </c>
      <c r="H13" s="19">
        <v>3.2160000000000002</v>
      </c>
      <c r="I13" s="19">
        <v>1.1000871252602609</v>
      </c>
      <c r="J13" s="19">
        <v>3.2170000000000001</v>
      </c>
      <c r="K13" s="19">
        <v>4.2098819284705087</v>
      </c>
    </row>
    <row r="14" spans="1:17" x14ac:dyDescent="0.3">
      <c r="A14" s="153">
        <v>44292.427362499999</v>
      </c>
      <c r="B14" s="19">
        <v>361.89336149189961</v>
      </c>
      <c r="C14" s="19">
        <v>361.85</v>
      </c>
      <c r="D14" s="19">
        <v>-1.198184230869324</v>
      </c>
      <c r="E14" s="19">
        <v>361.9</v>
      </c>
      <c r="F14" s="19">
        <v>0.18343823918180707</v>
      </c>
      <c r="G14" s="19">
        <v>3.215646250896</v>
      </c>
      <c r="H14" s="19">
        <v>3.2160000000000002</v>
      </c>
      <c r="I14" s="19">
        <v>1.1000871252602609</v>
      </c>
      <c r="J14" s="19">
        <v>3.2170000000000001</v>
      </c>
      <c r="K14" s="19">
        <v>4.2098819284705087</v>
      </c>
    </row>
    <row r="15" spans="1:17" x14ac:dyDescent="0.3">
      <c r="A15" s="153">
        <v>44292.427421296299</v>
      </c>
      <c r="B15" s="19">
        <v>361.94093051012101</v>
      </c>
      <c r="C15" s="19">
        <v>361.85</v>
      </c>
      <c r="D15" s="19">
        <v>-2.5123024907082496</v>
      </c>
      <c r="E15" s="19">
        <v>361.9</v>
      </c>
      <c r="F15" s="19">
        <v>-1.1308616039457517</v>
      </c>
      <c r="G15" s="19">
        <v>3.2159839508960002</v>
      </c>
      <c r="H15" s="19">
        <v>3.2160000000000002</v>
      </c>
      <c r="I15" s="19">
        <v>4.9904179389706989E-2</v>
      </c>
      <c r="J15" s="19">
        <v>3.2170000000000001</v>
      </c>
      <c r="K15" s="19">
        <v>3.1593724331764883</v>
      </c>
    </row>
    <row r="16" spans="1:17" x14ac:dyDescent="0.3">
      <c r="A16" s="153">
        <v>44292.427477893521</v>
      </c>
      <c r="B16" s="19">
        <v>361.9290379689582</v>
      </c>
      <c r="C16" s="19">
        <v>361.85</v>
      </c>
      <c r="D16" s="19">
        <v>-2.183797393039085</v>
      </c>
      <c r="E16" s="19">
        <v>361.9</v>
      </c>
      <c r="F16" s="19">
        <v>-0.80231111383528975</v>
      </c>
      <c r="G16" s="19">
        <v>3.2158989708960002</v>
      </c>
      <c r="H16" s="19">
        <v>3.2160000000000002</v>
      </c>
      <c r="I16" s="19">
        <v>0.31415509291281385</v>
      </c>
      <c r="J16" s="19">
        <v>3.2170000000000001</v>
      </c>
      <c r="K16" s="19">
        <v>3.4237055142722075</v>
      </c>
    </row>
    <row r="17" spans="1:11" x14ac:dyDescent="0.3">
      <c r="A17" s="153">
        <v>44292.427534953706</v>
      </c>
      <c r="B17" s="19">
        <v>362.0498464197604</v>
      </c>
      <c r="C17" s="19">
        <v>361.85</v>
      </c>
      <c r="D17" s="19">
        <v>-5.5198592607238623</v>
      </c>
      <c r="E17" s="19">
        <v>361.9</v>
      </c>
      <c r="F17" s="19">
        <v>-4.138833954556917</v>
      </c>
      <c r="G17" s="19">
        <v>3.2164651108959998</v>
      </c>
      <c r="H17" s="19">
        <v>3.2160000000000002</v>
      </c>
      <c r="I17" s="19">
        <v>-1.4460312173884884</v>
      </c>
      <c r="J17" s="19">
        <v>3.2170000000000001</v>
      </c>
      <c r="K17" s="19">
        <v>1.6629718823570061</v>
      </c>
    </row>
    <row r="18" spans="1:11" x14ac:dyDescent="0.3">
      <c r="A18" s="153">
        <v>44292.427592824075</v>
      </c>
      <c r="B18" s="19">
        <v>362.0498464197604</v>
      </c>
      <c r="C18" s="19">
        <v>361.85</v>
      </c>
      <c r="D18" s="19">
        <v>-5.5198592607238623</v>
      </c>
      <c r="E18" s="19">
        <v>361.9</v>
      </c>
      <c r="F18" s="19">
        <v>-4.138833954556917</v>
      </c>
      <c r="G18" s="19">
        <v>3.2164548708959999</v>
      </c>
      <c r="H18" s="19">
        <v>3.2160000000000002</v>
      </c>
      <c r="I18" s="19">
        <v>-1.414199527920013</v>
      </c>
      <c r="J18" s="19">
        <v>3.2170000000000001</v>
      </c>
      <c r="K18" s="19">
        <v>1.694813469738873</v>
      </c>
    </row>
    <row r="19" spans="1:11" x14ac:dyDescent="0.3">
      <c r="A19" s="153">
        <v>44292.427650578706</v>
      </c>
      <c r="B19" s="19">
        <v>361.9290379689582</v>
      </c>
      <c r="C19" s="19">
        <v>361.9</v>
      </c>
      <c r="D19" s="19">
        <v>-0.80231111383528975</v>
      </c>
      <c r="E19" s="19">
        <v>361.95</v>
      </c>
      <c r="F19" s="19">
        <v>0.57917516537007629</v>
      </c>
      <c r="G19" s="19">
        <v>3.2156764508959998</v>
      </c>
      <c r="H19" s="19">
        <v>3.2160000000000002</v>
      </c>
      <c r="I19" s="19">
        <v>1.0061618727536792</v>
      </c>
      <c r="J19" s="19">
        <v>3.2170000000000001</v>
      </c>
      <c r="K19" s="19">
        <v>4.1159274703505861</v>
      </c>
    </row>
    <row r="20" spans="1:11" x14ac:dyDescent="0.3">
      <c r="A20" s="153">
        <v>44292.428023379631</v>
      </c>
      <c r="B20" s="19">
        <v>362.00886394907491</v>
      </c>
      <c r="C20" s="19">
        <v>361.75</v>
      </c>
      <c r="D20" s="19">
        <v>-7.1507627258354294</v>
      </c>
      <c r="E20" s="19">
        <v>361.8</v>
      </c>
      <c r="F20" s="19">
        <v>-5.7695810759008834</v>
      </c>
      <c r="G20" s="19">
        <v>3.2157244608960007</v>
      </c>
      <c r="H20" s="19">
        <v>3.2160000000000002</v>
      </c>
      <c r="I20" s="19">
        <v>0.85684923366442056</v>
      </c>
      <c r="J20" s="19">
        <v>3.2170000000000001</v>
      </c>
      <c r="K20" s="19">
        <v>3.9665684032019088</v>
      </c>
    </row>
    <row r="21" spans="1:11" x14ac:dyDescent="0.3">
      <c r="A21" s="153">
        <v>44292.428079513891</v>
      </c>
      <c r="B21" s="19">
        <v>361.94184261119324</v>
      </c>
      <c r="C21" s="19">
        <v>361.75</v>
      </c>
      <c r="D21" s="19">
        <v>-5.3003711814364518</v>
      </c>
      <c r="E21" s="19">
        <v>361.8</v>
      </c>
      <c r="F21" s="19">
        <v>-3.9189337759325347</v>
      </c>
      <c r="G21" s="19">
        <v>3.215273120896001</v>
      </c>
      <c r="H21" s="19">
        <v>3.2160000000000002</v>
      </c>
      <c r="I21" s="19">
        <v>2.2607071830855743</v>
      </c>
      <c r="J21" s="19">
        <v>3.2170000000000001</v>
      </c>
      <c r="K21" s="19">
        <v>5.3708628756172851</v>
      </c>
    </row>
    <row r="22" spans="1:11" x14ac:dyDescent="0.3">
      <c r="A22" s="153">
        <v>44292.428136689814</v>
      </c>
      <c r="B22" s="19">
        <v>361.94184261119324</v>
      </c>
      <c r="C22" s="19">
        <v>361.75</v>
      </c>
      <c r="D22" s="19">
        <v>-5.3003711814364518</v>
      </c>
      <c r="E22" s="19">
        <v>361.8</v>
      </c>
      <c r="F22" s="19">
        <v>-3.9189337759325347</v>
      </c>
      <c r="G22" s="19">
        <v>3.215273120896001</v>
      </c>
      <c r="H22" s="19">
        <v>3.2160000000000002</v>
      </c>
      <c r="I22" s="19">
        <v>2.2607071830855743</v>
      </c>
      <c r="J22" s="19">
        <v>3.2170000000000001</v>
      </c>
      <c r="K22" s="19">
        <v>5.3708628756172851</v>
      </c>
    </row>
    <row r="23" spans="1:11" x14ac:dyDescent="0.3">
      <c r="A23" s="153">
        <v>44292.428195486114</v>
      </c>
      <c r="B23" s="19">
        <v>361.94356718541144</v>
      </c>
      <c r="C23" s="19">
        <v>361.75</v>
      </c>
      <c r="D23" s="19">
        <v>-5.3479935260814013</v>
      </c>
      <c r="E23" s="19">
        <v>361.85</v>
      </c>
      <c r="F23" s="19">
        <v>-2.5851318795088538</v>
      </c>
      <c r="G23" s="19">
        <v>3.2151956808960005</v>
      </c>
      <c r="H23" s="19">
        <v>3.2160000000000002</v>
      </c>
      <c r="I23" s="19">
        <v>2.5016178914981326</v>
      </c>
      <c r="J23" s="19">
        <v>3.2170000000000001</v>
      </c>
      <c r="K23" s="19">
        <v>5.6118484940759918</v>
      </c>
    </row>
    <row r="24" spans="1:11" x14ac:dyDescent="0.3">
      <c r="A24" s="153">
        <v>44292.428254282408</v>
      </c>
      <c r="B24" s="19">
        <v>361.94356718541144</v>
      </c>
      <c r="C24" s="19">
        <v>361.75</v>
      </c>
      <c r="D24" s="19">
        <v>-5.3479935260814013</v>
      </c>
      <c r="E24" s="19">
        <v>361.85</v>
      </c>
      <c r="F24" s="19">
        <v>-2.5851318795088538</v>
      </c>
      <c r="G24" s="19">
        <v>3.2150701608960004</v>
      </c>
      <c r="H24" s="19">
        <v>3.2160000000000002</v>
      </c>
      <c r="I24" s="19">
        <v>2.8921269442551201</v>
      </c>
      <c r="J24" s="19">
        <v>3.2170000000000001</v>
      </c>
      <c r="K24" s="19">
        <v>6.0024789737772446</v>
      </c>
    </row>
    <row r="25" spans="1:11" x14ac:dyDescent="0.3">
      <c r="A25" s="153">
        <v>44292.428313078701</v>
      </c>
      <c r="B25" s="19">
        <v>361.91168304719542</v>
      </c>
      <c r="C25" s="19">
        <v>361.75</v>
      </c>
      <c r="D25" s="19">
        <v>-4.4674724461531143</v>
      </c>
      <c r="E25" s="19">
        <v>361.85</v>
      </c>
      <c r="F25" s="19">
        <v>-1.7043673936151409</v>
      </c>
      <c r="G25" s="19">
        <v>3.2147733208960001</v>
      </c>
      <c r="H25" s="19">
        <v>3.2160000000000002</v>
      </c>
      <c r="I25" s="19">
        <v>3.8157561406482086</v>
      </c>
      <c r="J25" s="19">
        <v>3.2170000000000001</v>
      </c>
      <c r="K25" s="19">
        <v>6.92639536830354</v>
      </c>
    </row>
    <row r="26" spans="1:11" x14ac:dyDescent="0.3">
      <c r="A26" s="153">
        <v>44292.428371875001</v>
      </c>
      <c r="B26" s="19">
        <v>361.91168304719542</v>
      </c>
      <c r="C26" s="19">
        <v>361.75</v>
      </c>
      <c r="D26" s="19">
        <v>-4.4674724461531143</v>
      </c>
      <c r="E26" s="19">
        <v>361.8</v>
      </c>
      <c r="F26" s="19">
        <v>-3.0859199198841281</v>
      </c>
      <c r="G26" s="19">
        <v>3.2147733208960001</v>
      </c>
      <c r="H26" s="19">
        <v>3.2160000000000002</v>
      </c>
      <c r="I26" s="19">
        <v>3.8157561406482086</v>
      </c>
      <c r="J26" s="19">
        <v>3.2170000000000001</v>
      </c>
      <c r="K26" s="19">
        <v>6.92639536830354</v>
      </c>
    </row>
    <row r="27" spans="1:11" x14ac:dyDescent="0.3">
      <c r="A27" s="153">
        <v>44292.428427314815</v>
      </c>
      <c r="B27" s="19">
        <v>361.86200963586964</v>
      </c>
      <c r="C27" s="19">
        <v>361.75</v>
      </c>
      <c r="D27" s="19">
        <v>-3.0953687562380989</v>
      </c>
      <c r="E27" s="19">
        <v>361.8</v>
      </c>
      <c r="F27" s="19">
        <v>-1.7136265819124548</v>
      </c>
      <c r="G27" s="19">
        <v>3.2144114208960004</v>
      </c>
      <c r="H27" s="19">
        <v>3.2149999999999999</v>
      </c>
      <c r="I27" s="19">
        <v>1.8310633796696452</v>
      </c>
      <c r="J27" s="19">
        <v>3.2170000000000001</v>
      </c>
      <c r="K27" s="19">
        <v>8.0530422682424536</v>
      </c>
    </row>
    <row r="28" spans="1:11" x14ac:dyDescent="0.3">
      <c r="A28" s="153">
        <v>44292.428483912037</v>
      </c>
      <c r="B28" s="19">
        <v>361.86200963586964</v>
      </c>
      <c r="C28" s="19">
        <v>361.75</v>
      </c>
      <c r="D28" s="19">
        <v>-3.0953687562380989</v>
      </c>
      <c r="E28" s="19">
        <v>361.8</v>
      </c>
      <c r="F28" s="19">
        <v>-1.7136265819124548</v>
      </c>
      <c r="G28" s="19">
        <v>3.2145369408960001</v>
      </c>
      <c r="H28" s="19">
        <v>3.2149999999999999</v>
      </c>
      <c r="I28" s="19">
        <v>1.4405157337240817</v>
      </c>
      <c r="J28" s="19">
        <v>3.2170000000000001</v>
      </c>
      <c r="K28" s="19">
        <v>7.6622516688623978</v>
      </c>
    </row>
    <row r="29" spans="1:11" x14ac:dyDescent="0.3">
      <c r="A29" s="153">
        <v>44292.428541782407</v>
      </c>
      <c r="B29" s="19">
        <v>361.86200963586964</v>
      </c>
      <c r="C29" s="19">
        <v>361.75</v>
      </c>
      <c r="D29" s="19">
        <v>-3.0953687562380989</v>
      </c>
      <c r="E29" s="19">
        <v>361.8</v>
      </c>
      <c r="F29" s="19">
        <v>-1.7136265819124548</v>
      </c>
      <c r="G29" s="19">
        <v>3.2143760893620006</v>
      </c>
      <c r="H29" s="19">
        <v>3.2149999999999999</v>
      </c>
      <c r="I29" s="19">
        <v>1.9410007437029733</v>
      </c>
      <c r="J29" s="19">
        <v>3.218</v>
      </c>
      <c r="K29" s="19">
        <v>11.274071661971169</v>
      </c>
    </row>
    <row r="30" spans="1:11" x14ac:dyDescent="0.3">
      <c r="A30" s="153">
        <v>44292.428600578707</v>
      </c>
      <c r="B30" s="19">
        <v>361.98281808667184</v>
      </c>
      <c r="C30" s="19">
        <v>361.75</v>
      </c>
      <c r="D30" s="19">
        <v>-6.4317441336703478</v>
      </c>
      <c r="E30" s="19">
        <v>361.8</v>
      </c>
      <c r="F30" s="19">
        <v>-5.050463103142552</v>
      </c>
      <c r="G30" s="19">
        <v>3.2151545093620006</v>
      </c>
      <c r="H30" s="19">
        <v>3.2149999999999999</v>
      </c>
      <c r="I30" s="19">
        <v>-0.48056589986851878</v>
      </c>
      <c r="J30" s="19">
        <v>3.218</v>
      </c>
      <c r="K30" s="19">
        <v>8.8502453916716153</v>
      </c>
    </row>
    <row r="31" spans="1:11" x14ac:dyDescent="0.3">
      <c r="A31" s="153">
        <v>44292.428658449076</v>
      </c>
      <c r="B31" s="19">
        <v>361.84456821192202</v>
      </c>
      <c r="C31" s="19">
        <v>361.75</v>
      </c>
      <c r="D31" s="19">
        <v>-2.6135037037957631</v>
      </c>
      <c r="E31" s="19">
        <v>361.8</v>
      </c>
      <c r="F31" s="19">
        <v>-1.2316949275278328</v>
      </c>
      <c r="G31" s="19">
        <v>3.2144554093620004</v>
      </c>
      <c r="H31" s="19">
        <v>3.2149999999999999</v>
      </c>
      <c r="I31" s="19">
        <v>1.6941925416460746</v>
      </c>
      <c r="J31" s="19">
        <v>3.218</v>
      </c>
      <c r="K31" s="19">
        <v>11.027033156770825</v>
      </c>
    </row>
    <row r="32" spans="1:11" x14ac:dyDescent="0.3">
      <c r="A32" s="153">
        <v>44292.428715393522</v>
      </c>
      <c r="B32" s="19">
        <v>361.84456821192202</v>
      </c>
      <c r="C32" s="19">
        <v>361.75</v>
      </c>
      <c r="D32" s="19">
        <v>-2.6135037037957631</v>
      </c>
      <c r="E32" s="19">
        <v>361.8</v>
      </c>
      <c r="F32" s="19">
        <v>-1.2316949275278328</v>
      </c>
      <c r="G32" s="19">
        <v>3.2144554093620004</v>
      </c>
      <c r="H32" s="19">
        <v>3.2149999999999999</v>
      </c>
      <c r="I32" s="19">
        <v>1.6941925416460746</v>
      </c>
      <c r="J32" s="19">
        <v>3.2160000000000002</v>
      </c>
      <c r="K32" s="19">
        <v>4.8051394133552465</v>
      </c>
    </row>
    <row r="33" spans="1:11" x14ac:dyDescent="0.3">
      <c r="A33" s="153">
        <v>44292.428774189815</v>
      </c>
      <c r="B33" s="19">
        <v>361.86200963586964</v>
      </c>
      <c r="C33" s="19">
        <v>361.75</v>
      </c>
      <c r="D33" s="19">
        <v>-3.0953687562380989</v>
      </c>
      <c r="E33" s="19">
        <v>361.8</v>
      </c>
      <c r="F33" s="19">
        <v>-1.7136265819124548</v>
      </c>
      <c r="G33" s="19">
        <v>3.2145883693620005</v>
      </c>
      <c r="H33" s="19">
        <v>3.2149999999999999</v>
      </c>
      <c r="I33" s="19">
        <v>1.2805080797359214</v>
      </c>
      <c r="J33" s="19">
        <v>3.2160000000000002</v>
      </c>
      <c r="K33" s="19">
        <v>4.3913262782065514</v>
      </c>
    </row>
    <row r="34" spans="1:11" x14ac:dyDescent="0.3">
      <c r="A34" s="153">
        <v>44292.42883287037</v>
      </c>
      <c r="B34" s="19">
        <v>362.03249149799763</v>
      </c>
      <c r="C34" s="19">
        <v>361.75</v>
      </c>
      <c r="D34" s="19">
        <v>-7.8029321851402962</v>
      </c>
      <c r="E34" s="19">
        <v>361.8</v>
      </c>
      <c r="F34" s="19">
        <v>-6.4218406761123576</v>
      </c>
      <c r="G34" s="19">
        <v>3.2157286893620003</v>
      </c>
      <c r="H34" s="19">
        <v>3.2149999999999999</v>
      </c>
      <c r="I34" s="19">
        <v>-2.2660162979887644</v>
      </c>
      <c r="J34" s="19">
        <v>3.2160000000000002</v>
      </c>
      <c r="K34" s="19">
        <v>0.84369878247946251</v>
      </c>
    </row>
    <row r="35" spans="1:11" x14ac:dyDescent="0.3">
      <c r="A35" s="153">
        <v>44292.42888900463</v>
      </c>
      <c r="B35" s="19">
        <v>362.03249149799763</v>
      </c>
      <c r="C35" s="19">
        <v>361.75</v>
      </c>
      <c r="D35" s="19">
        <v>-7.8029321851402962</v>
      </c>
      <c r="E35" s="19">
        <v>361.8</v>
      </c>
      <c r="F35" s="19">
        <v>-6.4218406761123576</v>
      </c>
      <c r="G35" s="19">
        <v>3.2157286893620003</v>
      </c>
      <c r="H35" s="19">
        <v>3.2149999999999999</v>
      </c>
      <c r="I35" s="19">
        <v>-2.2660162979887644</v>
      </c>
      <c r="J35" s="19">
        <v>3.2160000000000002</v>
      </c>
      <c r="K35" s="19">
        <v>0.84369878247946251</v>
      </c>
    </row>
    <row r="36" spans="1:11" x14ac:dyDescent="0.3">
      <c r="A36" s="153">
        <v>44292.428946990738</v>
      </c>
      <c r="B36" s="19">
        <v>362.03249149799763</v>
      </c>
      <c r="C36" s="19">
        <v>361.75</v>
      </c>
      <c r="D36" s="19">
        <v>-7.8029321851402962</v>
      </c>
      <c r="E36" s="19">
        <v>361.8</v>
      </c>
      <c r="F36" s="19">
        <v>-6.4218406761123576</v>
      </c>
      <c r="G36" s="19">
        <v>3.2162360593619996</v>
      </c>
      <c r="H36" s="19">
        <v>3.2149999999999999</v>
      </c>
      <c r="I36" s="19">
        <v>-3.8431860696349833</v>
      </c>
      <c r="J36" s="19">
        <v>3.2160000000000002</v>
      </c>
      <c r="K36" s="19">
        <v>-0.73396155519215178</v>
      </c>
    </row>
    <row r="37" spans="1:11" x14ac:dyDescent="0.3">
      <c r="A37" s="153">
        <v>44292.4290056713</v>
      </c>
      <c r="B37" s="19">
        <v>362.02059895683482</v>
      </c>
      <c r="C37" s="19">
        <v>361.75</v>
      </c>
      <c r="D37" s="19">
        <v>-7.4746839714245619</v>
      </c>
      <c r="E37" s="19">
        <v>361.8</v>
      </c>
      <c r="F37" s="19">
        <v>-6.0935470929130418</v>
      </c>
      <c r="G37" s="19">
        <v>3.2161510793620001</v>
      </c>
      <c r="H37" s="19">
        <v>3.2149999999999999</v>
      </c>
      <c r="I37" s="19">
        <v>-3.5790587369687588</v>
      </c>
      <c r="J37" s="19">
        <v>3.2160000000000002</v>
      </c>
      <c r="K37" s="19">
        <v>-0.46975206783458417</v>
      </c>
    </row>
    <row r="38" spans="1:11" x14ac:dyDescent="0.3">
      <c r="A38" s="153">
        <v>44292.429062962961</v>
      </c>
      <c r="B38" s="19">
        <v>362.025904095881</v>
      </c>
      <c r="C38" s="19">
        <v>361.75</v>
      </c>
      <c r="D38" s="19">
        <v>-7.6211147533777384</v>
      </c>
      <c r="E38" s="19">
        <v>361.8</v>
      </c>
      <c r="F38" s="19">
        <v>-6.2399981140897092</v>
      </c>
      <c r="G38" s="19">
        <v>3.2162630793619997</v>
      </c>
      <c r="H38" s="19">
        <v>3.2149999999999999</v>
      </c>
      <c r="I38" s="19">
        <v>-3.9271643234185554</v>
      </c>
      <c r="J38" s="19">
        <v>3.2160000000000002</v>
      </c>
      <c r="K38" s="19">
        <v>-0.81796592973895366</v>
      </c>
    </row>
    <row r="39" spans="1:11" x14ac:dyDescent="0.3">
      <c r="A39" s="153">
        <v>44292.429121759262</v>
      </c>
      <c r="B39" s="19">
        <v>361.90509564507875</v>
      </c>
      <c r="C39" s="19">
        <v>361.6</v>
      </c>
      <c r="D39" s="19">
        <v>-8.430266629291415</v>
      </c>
      <c r="E39" s="19">
        <v>361.65</v>
      </c>
      <c r="F39" s="19">
        <v>-7.0486889559836694</v>
      </c>
      <c r="G39" s="19">
        <v>3.2154846593620001</v>
      </c>
      <c r="H39" s="19">
        <v>3.2149999999999999</v>
      </c>
      <c r="I39" s="19">
        <v>-1.507266907926798</v>
      </c>
      <c r="J39" s="19">
        <v>3.2160000000000002</v>
      </c>
      <c r="K39" s="19">
        <v>1.602684175462133</v>
      </c>
    </row>
    <row r="40" spans="1:11" x14ac:dyDescent="0.3">
      <c r="A40" s="153">
        <v>44292.429178935185</v>
      </c>
      <c r="B40" s="19">
        <v>361.78830739847967</v>
      </c>
      <c r="C40" s="19">
        <v>361.55</v>
      </c>
      <c r="D40" s="19">
        <v>-6.5869292513421858</v>
      </c>
      <c r="E40" s="19">
        <v>361.6</v>
      </c>
      <c r="F40" s="19">
        <v>-5.2049055933763544</v>
      </c>
      <c r="G40" s="19">
        <v>3.2146278993620001</v>
      </c>
      <c r="H40" s="19">
        <v>3.2149999999999999</v>
      </c>
      <c r="I40" s="19">
        <v>1.1575232022144784</v>
      </c>
      <c r="J40" s="19">
        <v>3.2160000000000002</v>
      </c>
      <c r="K40" s="19">
        <v>4.2683031472239819</v>
      </c>
    </row>
    <row r="41" spans="1:11" x14ac:dyDescent="0.3">
      <c r="A41" s="153">
        <v>44292.429237847224</v>
      </c>
      <c r="B41" s="19">
        <v>361.85780676594004</v>
      </c>
      <c r="C41" s="19">
        <v>361.55</v>
      </c>
      <c r="D41" s="19">
        <v>-8.5062905977078227</v>
      </c>
      <c r="E41" s="19">
        <v>361.6</v>
      </c>
      <c r="F41" s="19">
        <v>-7.1245323748611122</v>
      </c>
      <c r="G41" s="19">
        <v>3.2151216993620007</v>
      </c>
      <c r="H41" s="19">
        <v>3.2149999999999999</v>
      </c>
      <c r="I41" s="19">
        <v>-0.37852178978152839</v>
      </c>
      <c r="J41" s="19">
        <v>3.2160000000000002</v>
      </c>
      <c r="K41" s="19">
        <v>2.7317803807359082</v>
      </c>
    </row>
    <row r="42" spans="1:11" x14ac:dyDescent="0.3">
      <c r="A42" s="153">
        <v>44292.42929641204</v>
      </c>
      <c r="B42" s="19">
        <v>361.82592262772397</v>
      </c>
      <c r="C42" s="19">
        <v>361.6</v>
      </c>
      <c r="D42" s="19">
        <v>-6.2439591415453659</v>
      </c>
      <c r="E42" s="19">
        <v>361.65</v>
      </c>
      <c r="F42" s="19">
        <v>-4.8620791580208405</v>
      </c>
      <c r="G42" s="19">
        <v>3.2146993393620003</v>
      </c>
      <c r="H42" s="19">
        <v>3.2149999999999999</v>
      </c>
      <c r="I42" s="19">
        <v>0.93526829808997269</v>
      </c>
      <c r="J42" s="19">
        <v>3.2160000000000002</v>
      </c>
      <c r="K42" s="19">
        <v>4.0459791124916613</v>
      </c>
    </row>
    <row r="43" spans="1:11" x14ac:dyDescent="0.3">
      <c r="A43" s="153">
        <v>44292.429351851853</v>
      </c>
      <c r="B43" s="19">
        <v>361.80609667158933</v>
      </c>
      <c r="C43" s="19">
        <v>361.6</v>
      </c>
      <c r="D43" s="19">
        <v>-5.6963294285331205</v>
      </c>
      <c r="E43" s="19">
        <v>361.65</v>
      </c>
      <c r="F43" s="19">
        <v>-4.3143737218734994</v>
      </c>
      <c r="G43" s="19">
        <v>3.2143540193619997</v>
      </c>
      <c r="H43" s="19">
        <v>3.2149999999999999</v>
      </c>
      <c r="I43" s="19">
        <v>2.0096748339137842</v>
      </c>
      <c r="J43" s="19">
        <v>3.2160000000000002</v>
      </c>
      <c r="K43" s="19">
        <v>5.1207198338631637</v>
      </c>
    </row>
    <row r="44" spans="1:11" x14ac:dyDescent="0.3">
      <c r="A44" s="153">
        <v>44292.429409837961</v>
      </c>
      <c r="B44" s="19">
        <v>361.82510786068258</v>
      </c>
      <c r="C44" s="19">
        <v>361.6</v>
      </c>
      <c r="D44" s="19">
        <v>-6.2214549458306676</v>
      </c>
      <c r="E44" s="19">
        <v>361.65</v>
      </c>
      <c r="F44" s="19">
        <v>-4.8395718505534164</v>
      </c>
      <c r="G44" s="19">
        <v>3.2144849793619996</v>
      </c>
      <c r="H44" s="19">
        <v>3.2149999999999999</v>
      </c>
      <c r="I44" s="19">
        <v>1.6021871040208142</v>
      </c>
      <c r="J44" s="19">
        <v>3.2160000000000002</v>
      </c>
      <c r="K44" s="19">
        <v>4.7131053581755147</v>
      </c>
    </row>
    <row r="45" spans="1:11" x14ac:dyDescent="0.3">
      <c r="A45" s="153">
        <v>44292.429541782411</v>
      </c>
      <c r="B45" s="19">
        <v>361.84262626260846</v>
      </c>
      <c r="C45" s="19">
        <v>361.7</v>
      </c>
      <c r="D45" s="19">
        <v>-3.9416655821241493</v>
      </c>
      <c r="E45" s="19">
        <v>361.75</v>
      </c>
      <c r="F45" s="19">
        <v>-2.5598493899178805</v>
      </c>
      <c r="G45" s="19">
        <v>3.2140321693619995</v>
      </c>
      <c r="H45" s="19">
        <v>3.2149999999999999</v>
      </c>
      <c r="I45" s="19">
        <v>3.011266182169051</v>
      </c>
      <c r="J45" s="19">
        <v>3.2160000000000002</v>
      </c>
      <c r="K45" s="19">
        <v>6.1226227190852285</v>
      </c>
    </row>
    <row r="46" spans="1:11" x14ac:dyDescent="0.3">
      <c r="A46" s="153">
        <v>44292.429595138892</v>
      </c>
      <c r="B46" s="19">
        <v>361.84262626260846</v>
      </c>
      <c r="C46" s="19">
        <v>361.7</v>
      </c>
      <c r="D46" s="19">
        <v>-3.9416655821241493</v>
      </c>
      <c r="E46" s="19">
        <v>361.75</v>
      </c>
      <c r="F46" s="19">
        <v>-2.5598493899178805</v>
      </c>
      <c r="G46" s="19">
        <v>3.2140321693619995</v>
      </c>
      <c r="H46" s="19">
        <v>3.2149999999999999</v>
      </c>
      <c r="I46" s="19">
        <v>3.011266182169051</v>
      </c>
      <c r="J46" s="19">
        <v>3.2160000000000002</v>
      </c>
      <c r="K46" s="19">
        <v>6.1226227190852285</v>
      </c>
    </row>
    <row r="47" spans="1:11" x14ac:dyDescent="0.3">
      <c r="A47" s="153">
        <v>44292.429653819447</v>
      </c>
      <c r="B47" s="19">
        <v>361.84262626260846</v>
      </c>
      <c r="C47" s="19">
        <v>361.7</v>
      </c>
      <c r="D47" s="19">
        <v>-3.9416655821241493</v>
      </c>
      <c r="E47" s="19">
        <v>361.75</v>
      </c>
      <c r="F47" s="19">
        <v>-2.5598493899178805</v>
      </c>
      <c r="G47" s="19">
        <v>3.2141930208959999</v>
      </c>
      <c r="H47" s="19">
        <v>3.2149999999999999</v>
      </c>
      <c r="I47" s="19">
        <v>2.5106740595653596</v>
      </c>
      <c r="J47" s="19">
        <v>3.2160000000000002</v>
      </c>
      <c r="K47" s="19">
        <v>5.6218748913112089</v>
      </c>
    </row>
    <row r="48" spans="1:11" x14ac:dyDescent="0.3">
      <c r="A48" s="153">
        <v>44292.429710763892</v>
      </c>
      <c r="B48" s="19">
        <v>361.84052186950407</v>
      </c>
      <c r="C48" s="19">
        <v>361.7</v>
      </c>
      <c r="D48" s="19">
        <v>-3.8835304785118261</v>
      </c>
      <c r="E48" s="19">
        <v>361.75</v>
      </c>
      <c r="F48" s="19">
        <v>-2.5017062499351383</v>
      </c>
      <c r="G48" s="19">
        <v>3.2141688208959995</v>
      </c>
      <c r="H48" s="19">
        <v>3.2149999999999999</v>
      </c>
      <c r="I48" s="19">
        <v>2.5859845898468379</v>
      </c>
      <c r="J48" s="19">
        <v>3.2160000000000002</v>
      </c>
      <c r="K48" s="19">
        <v>5.6972088463299446</v>
      </c>
    </row>
    <row r="49" spans="1:11" x14ac:dyDescent="0.3">
      <c r="A49" s="153">
        <v>44292.429769560185</v>
      </c>
      <c r="B49" s="19">
        <v>361.65470297653303</v>
      </c>
      <c r="C49" s="19">
        <v>361.7</v>
      </c>
      <c r="D49" s="19">
        <v>1.2524936934083526</v>
      </c>
      <c r="E49" s="19">
        <v>361.75</v>
      </c>
      <c r="F49" s="19">
        <v>2.6350279059734176</v>
      </c>
      <c r="G49" s="19">
        <v>3.212919740896</v>
      </c>
      <c r="H49" s="19">
        <v>3.2149999999999999</v>
      </c>
      <c r="I49" s="19">
        <v>6.4746687491787842</v>
      </c>
      <c r="J49" s="19">
        <v>3.2160000000000002</v>
      </c>
      <c r="K49" s="19">
        <v>9.5871025497238929</v>
      </c>
    </row>
    <row r="50" spans="1:11" x14ac:dyDescent="0.3">
      <c r="A50" s="153">
        <v>44292.429826851854</v>
      </c>
      <c r="B50" s="19">
        <v>361.65470297653303</v>
      </c>
      <c r="C50" s="19">
        <v>361.65</v>
      </c>
      <c r="D50" s="19">
        <v>-0.13004051915671289</v>
      </c>
      <c r="E50" s="19">
        <v>361.75</v>
      </c>
      <c r="F50" s="19">
        <v>2.6350279059734176</v>
      </c>
      <c r="G50" s="19">
        <v>3.212825760896</v>
      </c>
      <c r="H50" s="19">
        <v>3.2149999999999999</v>
      </c>
      <c r="I50" s="19">
        <v>6.7673732278387684</v>
      </c>
      <c r="J50" s="19">
        <v>3.2160000000000002</v>
      </c>
      <c r="K50" s="19">
        <v>9.8798980717675953</v>
      </c>
    </row>
    <row r="51" spans="1:11" x14ac:dyDescent="0.3">
      <c r="A51" s="153">
        <v>44292.429884837962</v>
      </c>
      <c r="B51" s="19">
        <v>361.65879302758555</v>
      </c>
      <c r="C51" s="19">
        <v>361.65</v>
      </c>
      <c r="D51" s="19">
        <v>-0.24313047975298741</v>
      </c>
      <c r="E51" s="19">
        <v>361.75</v>
      </c>
      <c r="F51" s="19">
        <v>2.5219066748225751</v>
      </c>
      <c r="G51" s="19">
        <v>3.2129466408959999</v>
      </c>
      <c r="H51" s="19">
        <v>3.2149999999999999</v>
      </c>
      <c r="I51" s="19">
        <v>6.3908907725505468</v>
      </c>
      <c r="J51" s="19">
        <v>3.2160000000000002</v>
      </c>
      <c r="K51" s="19">
        <v>9.5032985146270299</v>
      </c>
    </row>
    <row r="52" spans="1:11" x14ac:dyDescent="0.3">
      <c r="A52" s="153">
        <v>44292.43007800926</v>
      </c>
      <c r="B52" s="19">
        <v>361.76898524169769</v>
      </c>
      <c r="C52" s="19">
        <v>361.7</v>
      </c>
      <c r="D52" s="19">
        <v>-1.9068865633026626</v>
      </c>
      <c r="E52" s="19">
        <v>361.75</v>
      </c>
      <c r="F52" s="19">
        <v>-0.52478909116567474</v>
      </c>
      <c r="G52" s="19">
        <v>3.2135089208960004</v>
      </c>
      <c r="H52" s="19">
        <v>3.2149999999999999</v>
      </c>
      <c r="I52" s="19">
        <v>4.6400341206575355</v>
      </c>
      <c r="J52" s="19">
        <v>3.2160000000000002</v>
      </c>
      <c r="K52" s="19">
        <v>7.7518972727956381</v>
      </c>
    </row>
    <row r="53" spans="1:11" x14ac:dyDescent="0.3">
      <c r="A53" s="153">
        <v>44292.430131365742</v>
      </c>
      <c r="B53" s="19">
        <v>361.87656127910799</v>
      </c>
      <c r="C53" s="19">
        <v>361.7</v>
      </c>
      <c r="D53" s="19">
        <v>-4.879047111642639</v>
      </c>
      <c r="E53" s="19">
        <v>361.75</v>
      </c>
      <c r="F53" s="19">
        <v>-3.4973604994100387</v>
      </c>
      <c r="G53" s="19">
        <v>3.2143569208960008</v>
      </c>
      <c r="H53" s="19">
        <v>3.2149999999999999</v>
      </c>
      <c r="I53" s="19">
        <v>2.0006462251236861</v>
      </c>
      <c r="J53" s="19">
        <v>3.2160000000000002</v>
      </c>
      <c r="K53" s="19">
        <v>5.111688416796615</v>
      </c>
    </row>
    <row r="54" spans="1:11" x14ac:dyDescent="0.3">
      <c r="A54" s="153">
        <v>44292.430186458332</v>
      </c>
      <c r="B54" s="19">
        <v>361.82899226088665</v>
      </c>
      <c r="C54" s="19">
        <v>361.7</v>
      </c>
      <c r="D54" s="19">
        <v>-3.5650062224327113</v>
      </c>
      <c r="E54" s="19">
        <v>361.75</v>
      </c>
      <c r="F54" s="19">
        <v>-2.1831379623027916</v>
      </c>
      <c r="G54" s="19">
        <v>3.2141885008960007</v>
      </c>
      <c r="H54" s="19">
        <v>3.214</v>
      </c>
      <c r="I54" s="19">
        <v>-0.58646496914604296</v>
      </c>
      <c r="J54" s="19">
        <v>3.2149999999999999</v>
      </c>
      <c r="K54" s="19">
        <v>2.5247402377704948</v>
      </c>
    </row>
    <row r="55" spans="1:11" x14ac:dyDescent="0.3">
      <c r="A55" s="153">
        <v>44292.430245254633</v>
      </c>
      <c r="B55" s="19">
        <v>361.72007635124731</v>
      </c>
      <c r="C55" s="19">
        <v>361.8</v>
      </c>
      <c r="D55" s="19">
        <v>2.2095441745701505</v>
      </c>
      <c r="E55" s="19">
        <v>361.85</v>
      </c>
      <c r="F55" s="19">
        <v>3.5918285228532967</v>
      </c>
      <c r="G55" s="19">
        <v>3.2140024308960005</v>
      </c>
      <c r="H55" s="19">
        <v>3.214</v>
      </c>
      <c r="I55" s="19">
        <v>-7.5634541440469487E-3</v>
      </c>
      <c r="J55" s="19">
        <v>3.2149999999999999</v>
      </c>
      <c r="K55" s="19">
        <v>3.1038218714765984</v>
      </c>
    </row>
    <row r="56" spans="1:11" x14ac:dyDescent="0.3">
      <c r="A56" s="153">
        <v>44292.430302314817</v>
      </c>
      <c r="B56" s="19">
        <v>361.72007635124731</v>
      </c>
      <c r="C56" s="19">
        <v>361.8</v>
      </c>
      <c r="D56" s="19">
        <v>2.2095441745701505</v>
      </c>
      <c r="E56" s="19">
        <v>361.85</v>
      </c>
      <c r="F56" s="19">
        <v>3.5918285228532967</v>
      </c>
      <c r="G56" s="19">
        <v>3.2138880618880004</v>
      </c>
      <c r="H56" s="19">
        <v>3.214</v>
      </c>
      <c r="I56" s="19">
        <v>0.34829499299316541</v>
      </c>
      <c r="J56" s="19">
        <v>3.2149999999999999</v>
      </c>
      <c r="K56" s="19">
        <v>3.4597910399725964</v>
      </c>
    </row>
    <row r="57" spans="1:11" x14ac:dyDescent="0.3">
      <c r="A57" s="153">
        <v>44292.430360416663</v>
      </c>
      <c r="B57" s="19">
        <v>361.73751777519487</v>
      </c>
      <c r="C57" s="19">
        <v>361.8</v>
      </c>
      <c r="D57" s="19">
        <v>1.7272807418324652</v>
      </c>
      <c r="E57" s="19">
        <v>361.85</v>
      </c>
      <c r="F57" s="19">
        <v>3.1094984423222534</v>
      </c>
      <c r="G57" s="19">
        <v>3.2139352451320002</v>
      </c>
      <c r="H57" s="19">
        <v>3.214</v>
      </c>
      <c r="I57" s="19">
        <v>0.20148155784348509</v>
      </c>
      <c r="J57" s="19">
        <v>3.2149999999999999</v>
      </c>
      <c r="K57" s="19">
        <v>3.3129319254715939</v>
      </c>
    </row>
    <row r="58" spans="1:11" x14ac:dyDescent="0.3">
      <c r="A58" s="153">
        <v>44292.430418402779</v>
      </c>
      <c r="B58" s="19">
        <v>361.73751777519487</v>
      </c>
      <c r="C58" s="19">
        <v>361.8</v>
      </c>
      <c r="D58" s="19">
        <v>1.7272807418324652</v>
      </c>
      <c r="E58" s="19">
        <v>361.85</v>
      </c>
      <c r="F58" s="19">
        <v>3.1094984423222534</v>
      </c>
      <c r="G58" s="19">
        <v>3.2139352451320002</v>
      </c>
      <c r="H58" s="19">
        <v>3.214</v>
      </c>
      <c r="I58" s="19">
        <v>0.20148155784348509</v>
      </c>
      <c r="J58" s="19">
        <v>3.2149999999999999</v>
      </c>
      <c r="K58" s="19">
        <v>3.3129319254715939</v>
      </c>
    </row>
    <row r="59" spans="1:11" x14ac:dyDescent="0.3">
      <c r="A59" s="153">
        <v>44292.430477199072</v>
      </c>
      <c r="B59" s="19">
        <v>361.73751777519487</v>
      </c>
      <c r="C59" s="19">
        <v>361.7</v>
      </c>
      <c r="D59" s="19">
        <v>-1.0371546591471108</v>
      </c>
      <c r="E59" s="19">
        <v>361.8</v>
      </c>
      <c r="F59" s="19">
        <v>1.7272807418324652</v>
      </c>
      <c r="G59" s="19">
        <v>3.2139352451320002</v>
      </c>
      <c r="H59" s="19">
        <v>3.214</v>
      </c>
      <c r="I59" s="19">
        <v>0.20148155784348509</v>
      </c>
      <c r="J59" s="19">
        <v>3.2149999999999999</v>
      </c>
      <c r="K59" s="19">
        <v>3.3129319254715939</v>
      </c>
    </row>
    <row r="60" spans="1:11" x14ac:dyDescent="0.3">
      <c r="A60" s="153">
        <v>44292.430532638886</v>
      </c>
      <c r="B60" s="19">
        <v>361.70909310247077</v>
      </c>
      <c r="C60" s="19">
        <v>361.7</v>
      </c>
      <c r="D60" s="19">
        <v>-0.25139269772821587</v>
      </c>
      <c r="E60" s="19">
        <v>361.75</v>
      </c>
      <c r="F60" s="19">
        <v>1.1309336234363607</v>
      </c>
      <c r="G60" s="19">
        <v>3.2138413651319997</v>
      </c>
      <c r="H60" s="19">
        <v>3.214</v>
      </c>
      <c r="I60" s="19">
        <v>0.49359893652920889</v>
      </c>
      <c r="J60" s="19">
        <v>3.2149999999999999</v>
      </c>
      <c r="K60" s="19">
        <v>3.6051401931986016</v>
      </c>
    </row>
    <row r="61" spans="1:11" x14ac:dyDescent="0.3">
      <c r="A61" s="153">
        <v>44292.430590393516</v>
      </c>
      <c r="B61" s="19">
        <v>361.68754257211793</v>
      </c>
      <c r="C61" s="19">
        <v>361.7</v>
      </c>
      <c r="D61" s="19">
        <v>0.34442512986387119</v>
      </c>
      <c r="E61" s="19">
        <v>361.75</v>
      </c>
      <c r="F61" s="19">
        <v>1.7268338145655766</v>
      </c>
      <c r="G61" s="19">
        <v>3.2136929251319999</v>
      </c>
      <c r="H61" s="19">
        <v>3.214</v>
      </c>
      <c r="I61" s="19">
        <v>0.95552025396908802</v>
      </c>
      <c r="J61" s="19">
        <v>3.2160000000000002</v>
      </c>
      <c r="K61" s="19">
        <v>7.1788902105683965</v>
      </c>
    </row>
    <row r="62" spans="1:11" x14ac:dyDescent="0.3">
      <c r="A62" s="153">
        <v>44292.430648379632</v>
      </c>
      <c r="B62" s="19">
        <v>361.72838428430771</v>
      </c>
      <c r="C62" s="19">
        <v>361.7</v>
      </c>
      <c r="D62" s="19">
        <v>-0.78468501618635367</v>
      </c>
      <c r="E62" s="19">
        <v>361.75</v>
      </c>
      <c r="F62" s="19">
        <v>0.59756758472408145</v>
      </c>
      <c r="G62" s="19">
        <v>3.2140393496360002</v>
      </c>
      <c r="H62" s="19">
        <v>3.214</v>
      </c>
      <c r="I62" s="19">
        <v>-0.12243047368020173</v>
      </c>
      <c r="J62" s="19">
        <v>3.2160000000000002</v>
      </c>
      <c r="K62" s="19">
        <v>6.1002686983966115</v>
      </c>
    </row>
    <row r="63" spans="1:11" x14ac:dyDescent="0.3">
      <c r="A63" s="153">
        <v>44292.430706481478</v>
      </c>
      <c r="B63" s="19">
        <v>361.68081526608631</v>
      </c>
      <c r="C63" s="19">
        <v>361.7</v>
      </c>
      <c r="D63" s="19">
        <v>0.53043272144699216</v>
      </c>
      <c r="E63" s="19">
        <v>361.75</v>
      </c>
      <c r="F63" s="19">
        <v>1.9128671191140811</v>
      </c>
      <c r="G63" s="19">
        <v>3.2135761296359999</v>
      </c>
      <c r="H63" s="19">
        <v>3.214</v>
      </c>
      <c r="I63" s="19">
        <v>1.3189989808894205</v>
      </c>
      <c r="J63" s="19">
        <v>3.2160000000000002</v>
      </c>
      <c r="K63" s="19">
        <v>7.542595122135225</v>
      </c>
    </row>
    <row r="64" spans="1:11" x14ac:dyDescent="0.3">
      <c r="A64" s="153">
        <v>44292.430765509256</v>
      </c>
      <c r="B64" s="19">
        <v>361.80162371688857</v>
      </c>
      <c r="C64" s="19">
        <v>361.65</v>
      </c>
      <c r="D64" s="19">
        <v>-4.1907970265838257</v>
      </c>
      <c r="E64" s="19">
        <v>361.7</v>
      </c>
      <c r="F64" s="19">
        <v>-2.8088242347995465</v>
      </c>
      <c r="G64" s="19">
        <v>3.214354549636</v>
      </c>
      <c r="H64" s="19">
        <v>3.214</v>
      </c>
      <c r="I64" s="19">
        <v>-1.1030196903454914</v>
      </c>
      <c r="J64" s="19">
        <v>3.2160000000000002</v>
      </c>
      <c r="K64" s="19">
        <v>5.1190692830899618</v>
      </c>
    </row>
    <row r="65" spans="1:11" x14ac:dyDescent="0.3">
      <c r="A65" s="153">
        <v>44292.430823958333</v>
      </c>
      <c r="B65" s="19">
        <v>361.75195030556279</v>
      </c>
      <c r="C65" s="19">
        <v>361.65</v>
      </c>
      <c r="D65" s="19">
        <v>-2.8182378968985349</v>
      </c>
      <c r="E65" s="19">
        <v>361.7</v>
      </c>
      <c r="F65" s="19">
        <v>-1.4360753416510064</v>
      </c>
      <c r="G65" s="19">
        <v>3.214206069636</v>
      </c>
      <c r="H65" s="19">
        <v>3.214</v>
      </c>
      <c r="I65" s="19">
        <v>-0.64112142014386364</v>
      </c>
      <c r="J65" s="19">
        <v>3.2160000000000002</v>
      </c>
      <c r="K65" s="19">
        <v>5.5812549822089519</v>
      </c>
    </row>
    <row r="66" spans="1:11" x14ac:dyDescent="0.3">
      <c r="A66" s="153">
        <v>44292.430881944441</v>
      </c>
      <c r="B66" s="19">
        <v>361.83895196661643</v>
      </c>
      <c r="C66" s="19">
        <v>361.65</v>
      </c>
      <c r="D66" s="19">
        <v>-5.2219907665963579</v>
      </c>
      <c r="E66" s="19">
        <v>361.7</v>
      </c>
      <c r="F66" s="19">
        <v>-3.8401605427285745</v>
      </c>
      <c r="G66" s="19">
        <v>3.2147417296359997</v>
      </c>
      <c r="H66" s="19">
        <v>3.214</v>
      </c>
      <c r="I66" s="19">
        <v>-2.3072759754286905</v>
      </c>
      <c r="J66" s="19">
        <v>3.2160000000000002</v>
      </c>
      <c r="K66" s="19">
        <v>3.914063616373233</v>
      </c>
    </row>
    <row r="67" spans="1:11" x14ac:dyDescent="0.3">
      <c r="A67" s="153">
        <v>44292.430940740742</v>
      </c>
      <c r="B67" s="19">
        <v>361.7913829483951</v>
      </c>
      <c r="C67" s="19">
        <v>361.6</v>
      </c>
      <c r="D67" s="19">
        <v>-5.2898702792590244</v>
      </c>
      <c r="E67" s="19">
        <v>361.65</v>
      </c>
      <c r="F67" s="19">
        <v>-3.9078583697303113</v>
      </c>
      <c r="G67" s="19">
        <v>3.2144142696359994</v>
      </c>
      <c r="H67" s="19">
        <v>3.214</v>
      </c>
      <c r="I67" s="19">
        <v>-1.288787322507607</v>
      </c>
      <c r="J67" s="19">
        <v>3.2160000000000002</v>
      </c>
      <c r="K67" s="19">
        <v>4.9331860519034771</v>
      </c>
    </row>
    <row r="68" spans="1:11" x14ac:dyDescent="0.3">
      <c r="A68" s="153">
        <v>44292.430999652781</v>
      </c>
      <c r="B68" s="19">
        <v>361.79918543850533</v>
      </c>
      <c r="C68" s="19">
        <v>361.6</v>
      </c>
      <c r="D68" s="19">
        <v>-5.5054142331441369</v>
      </c>
      <c r="E68" s="19">
        <v>361.65</v>
      </c>
      <c r="F68" s="19">
        <v>-4.1234321278125874</v>
      </c>
      <c r="G68" s="19">
        <v>3.2144723496359995</v>
      </c>
      <c r="H68" s="19">
        <v>3.214</v>
      </c>
      <c r="I68" s="19">
        <v>-1.4694468784371464</v>
      </c>
      <c r="J68" s="19">
        <v>3.2160000000000002</v>
      </c>
      <c r="K68" s="19">
        <v>4.7524140755906581</v>
      </c>
    </row>
    <row r="69" spans="1:11" x14ac:dyDescent="0.3">
      <c r="A69" s="153">
        <v>44292.431054050925</v>
      </c>
      <c r="B69" s="19">
        <v>361.77260643933545</v>
      </c>
      <c r="C69" s="19">
        <v>361.6</v>
      </c>
      <c r="D69" s="19">
        <v>-4.7711307120310895</v>
      </c>
      <c r="E69" s="19">
        <v>361.65</v>
      </c>
      <c r="F69" s="19">
        <v>-3.3890470741330145</v>
      </c>
      <c r="G69" s="19">
        <v>3.2142875096359997</v>
      </c>
      <c r="H69" s="19">
        <v>3.214</v>
      </c>
      <c r="I69" s="19">
        <v>-0.89447392349893062</v>
      </c>
      <c r="J69" s="19">
        <v>3.2160000000000002</v>
      </c>
      <c r="K69" s="19">
        <v>5.3277448232824129</v>
      </c>
    </row>
    <row r="70" spans="1:11" x14ac:dyDescent="0.3">
      <c r="A70" s="153">
        <v>44292.431111226855</v>
      </c>
      <c r="B70" s="19">
        <v>361.74602744016562</v>
      </c>
      <c r="C70" s="19">
        <v>361.6</v>
      </c>
      <c r="D70" s="19">
        <v>-4.0367392891342844</v>
      </c>
      <c r="E70" s="19">
        <v>361.65</v>
      </c>
      <c r="F70" s="19">
        <v>-2.6545541037496361</v>
      </c>
      <c r="G70" s="19">
        <v>3.2139418181019996</v>
      </c>
      <c r="H70" s="19">
        <v>3.214</v>
      </c>
      <c r="I70" s="19">
        <v>0.18102971769006912</v>
      </c>
      <c r="J70" s="19">
        <v>3.2160000000000002</v>
      </c>
      <c r="K70" s="19">
        <v>6.4039177262269762</v>
      </c>
    </row>
    <row r="71" spans="1:11" x14ac:dyDescent="0.3">
      <c r="A71" s="153">
        <v>44292.431169097224</v>
      </c>
      <c r="B71" s="19">
        <v>361.7957008514914</v>
      </c>
      <c r="C71" s="19">
        <v>361.6</v>
      </c>
      <c r="D71" s="19">
        <v>-5.4091535922288783</v>
      </c>
      <c r="E71" s="19">
        <v>361.65</v>
      </c>
      <c r="F71" s="19">
        <v>-4.0271581765210964</v>
      </c>
      <c r="G71" s="19">
        <v>3.2144292381019999</v>
      </c>
      <c r="H71" s="19">
        <v>3.214</v>
      </c>
      <c r="I71" s="19">
        <v>-1.3353478026890895</v>
      </c>
      <c r="J71" s="19">
        <v>3.2160000000000002</v>
      </c>
      <c r="K71" s="19">
        <v>4.8865965981811215</v>
      </c>
    </row>
    <row r="72" spans="1:11" x14ac:dyDescent="0.3">
      <c r="A72" s="153">
        <v>44292.431226967594</v>
      </c>
      <c r="B72" s="19">
        <v>361.7957008514914</v>
      </c>
      <c r="C72" s="19">
        <v>361.6</v>
      </c>
      <c r="D72" s="19">
        <v>-5.4091535922288783</v>
      </c>
      <c r="E72" s="19">
        <v>361.65</v>
      </c>
      <c r="F72" s="19">
        <v>-4.0271581765210964</v>
      </c>
      <c r="G72" s="19">
        <v>3.2144189981019999</v>
      </c>
      <c r="H72" s="19">
        <v>3.214</v>
      </c>
      <c r="I72" s="19">
        <v>-1.303495599818727</v>
      </c>
      <c r="J72" s="19">
        <v>3.2160000000000002</v>
      </c>
      <c r="K72" s="19">
        <v>4.9184686219617957</v>
      </c>
    </row>
    <row r="73" spans="1:11" x14ac:dyDescent="0.3">
      <c r="A73" s="153">
        <v>44292.431284837963</v>
      </c>
      <c r="B73" s="19">
        <v>361.7957008514914</v>
      </c>
      <c r="C73" s="19">
        <v>361.6</v>
      </c>
      <c r="D73" s="19">
        <v>-5.4091535922288783</v>
      </c>
      <c r="E73" s="19">
        <v>361.65</v>
      </c>
      <c r="F73" s="19">
        <v>-4.0271581765210964</v>
      </c>
      <c r="G73" s="19">
        <v>3.2144189981019999</v>
      </c>
      <c r="H73" s="19">
        <v>3.214</v>
      </c>
      <c r="I73" s="19">
        <v>-1.303495599818727</v>
      </c>
      <c r="J73" s="19">
        <v>3.2160000000000002</v>
      </c>
      <c r="K73" s="19">
        <v>4.9184686219617957</v>
      </c>
    </row>
    <row r="74" spans="1:11" x14ac:dyDescent="0.3">
      <c r="A74" s="153">
        <v>44292.431343171294</v>
      </c>
      <c r="B74" s="19">
        <v>361.74602744016562</v>
      </c>
      <c r="C74" s="19">
        <v>361.6</v>
      </c>
      <c r="D74" s="19">
        <v>-4.0367392891342844</v>
      </c>
      <c r="E74" s="19">
        <v>361.65</v>
      </c>
      <c r="F74" s="19">
        <v>-2.6545541037496361</v>
      </c>
      <c r="G74" s="19">
        <v>3.2140570981020002</v>
      </c>
      <c r="H74" s="19">
        <v>3.214</v>
      </c>
      <c r="I74" s="19">
        <v>-0.17765117500243835</v>
      </c>
      <c r="J74" s="19">
        <v>3.2160000000000002</v>
      </c>
      <c r="K74" s="19">
        <v>6.0450136344724328</v>
      </c>
    </row>
    <row r="75" spans="1:11" x14ac:dyDescent="0.3">
      <c r="A75" s="153">
        <v>44292.431400578702</v>
      </c>
      <c r="B75" s="19">
        <v>361.728586016218</v>
      </c>
      <c r="C75" s="19">
        <v>361.6</v>
      </c>
      <c r="D75" s="19">
        <v>-3.5547651247063738</v>
      </c>
      <c r="E75" s="19">
        <v>361.65</v>
      </c>
      <c r="F75" s="19">
        <v>-2.1725132946640344</v>
      </c>
      <c r="G75" s="19">
        <v>3.213798618102</v>
      </c>
      <c r="H75" s="19">
        <v>3.214</v>
      </c>
      <c r="I75" s="19">
        <v>0.62661641854504235</v>
      </c>
      <c r="J75" s="19">
        <v>3.2160000000000002</v>
      </c>
      <c r="K75" s="19">
        <v>6.8497817056761345</v>
      </c>
    </row>
    <row r="76" spans="1:11" x14ac:dyDescent="0.3">
      <c r="A76" s="153">
        <v>44292.431459722226</v>
      </c>
      <c r="B76" s="19">
        <v>361.79808538367843</v>
      </c>
      <c r="C76" s="19">
        <v>361.7</v>
      </c>
      <c r="D76" s="19">
        <v>-2.711053143756148</v>
      </c>
      <c r="E76" s="19">
        <v>361.75</v>
      </c>
      <c r="F76" s="19">
        <v>-1.3290668364768394</v>
      </c>
      <c r="G76" s="19">
        <v>3.2142924181020001</v>
      </c>
      <c r="H76" s="19">
        <v>3.214</v>
      </c>
      <c r="I76" s="19">
        <v>-0.90974330883299293</v>
      </c>
      <c r="J76" s="19">
        <v>3.2160000000000002</v>
      </c>
      <c r="K76" s="19">
        <v>5.3124659361528721</v>
      </c>
    </row>
    <row r="77" spans="1:11" x14ac:dyDescent="0.3">
      <c r="A77" s="153">
        <v>44292.43151678241</v>
      </c>
      <c r="B77" s="19">
        <v>361.82996952189444</v>
      </c>
      <c r="C77" s="19">
        <v>361.7</v>
      </c>
      <c r="D77" s="19">
        <v>-3.592005440184733</v>
      </c>
      <c r="E77" s="19">
        <v>361.75</v>
      </c>
      <c r="F77" s="19">
        <v>-2.2101409123215747</v>
      </c>
      <c r="G77" s="19">
        <v>3.2145892581020004</v>
      </c>
      <c r="H77" s="19">
        <v>3.214</v>
      </c>
      <c r="I77" s="19">
        <v>-1.8330743205068352</v>
      </c>
      <c r="J77" s="19">
        <v>3.2160000000000002</v>
      </c>
      <c r="K77" s="19">
        <v>4.3885603563323761</v>
      </c>
    </row>
    <row r="78" spans="1:11" x14ac:dyDescent="0.3">
      <c r="A78" s="153">
        <v>44292.431575694442</v>
      </c>
      <c r="B78" s="19">
        <v>361.88308742290064</v>
      </c>
      <c r="C78" s="19">
        <v>361.7</v>
      </c>
      <c r="D78" s="19">
        <v>-5.0592975815611236</v>
      </c>
      <c r="E78" s="19">
        <v>361.75</v>
      </c>
      <c r="F78" s="19">
        <v>-3.6776358864518186</v>
      </c>
      <c r="G78" s="19">
        <v>3.2149749381019999</v>
      </c>
      <c r="H78" s="19">
        <v>3.214</v>
      </c>
      <c r="I78" s="19">
        <v>-3.032490519429853</v>
      </c>
      <c r="J78" s="19">
        <v>3.2160000000000002</v>
      </c>
      <c r="K78" s="19">
        <v>3.1883977876527165</v>
      </c>
    </row>
    <row r="79" spans="1:11" x14ac:dyDescent="0.3">
      <c r="A79" s="153">
        <v>44292.431632291664</v>
      </c>
      <c r="B79" s="19">
        <v>361.83960845573176</v>
      </c>
      <c r="C79" s="19">
        <v>361.7</v>
      </c>
      <c r="D79" s="19">
        <v>-3.8582966725947845</v>
      </c>
      <c r="E79" s="19">
        <v>361.75</v>
      </c>
      <c r="F79" s="19">
        <v>-2.4764689557949948</v>
      </c>
      <c r="G79" s="19">
        <v>3.214664138102</v>
      </c>
      <c r="H79" s="19">
        <v>3.214</v>
      </c>
      <c r="I79" s="19">
        <v>-2.0659641986493051</v>
      </c>
      <c r="J79" s="19">
        <v>3.2160000000000002</v>
      </c>
      <c r="K79" s="19">
        <v>4.1555255560504269</v>
      </c>
    </row>
    <row r="80" spans="1:11" x14ac:dyDescent="0.3">
      <c r="A80" s="153">
        <v>44292.431689930556</v>
      </c>
      <c r="B80" s="19">
        <v>361.81978249959718</v>
      </c>
      <c r="C80" s="19">
        <v>361.7</v>
      </c>
      <c r="D80" s="19">
        <v>-3.3105569510237087</v>
      </c>
      <c r="E80" s="19">
        <v>361.75</v>
      </c>
      <c r="F80" s="19">
        <v>-1.9286535168170111</v>
      </c>
      <c r="G80" s="19">
        <v>3.214693089636</v>
      </c>
      <c r="H80" s="19">
        <v>3.214</v>
      </c>
      <c r="I80" s="19">
        <v>-2.1560056175642233</v>
      </c>
      <c r="J80" s="19">
        <v>3.2160000000000002</v>
      </c>
      <c r="K80" s="19">
        <v>4.0654281063832283</v>
      </c>
    </row>
    <row r="81" spans="1:11" x14ac:dyDescent="0.3">
      <c r="A81" s="153">
        <v>44292.431748263887</v>
      </c>
      <c r="B81" s="19">
        <v>361.81978249959718</v>
      </c>
      <c r="C81" s="19">
        <v>361.7</v>
      </c>
      <c r="D81" s="19">
        <v>-3.3105569510237087</v>
      </c>
      <c r="E81" s="19">
        <v>361.75</v>
      </c>
      <c r="F81" s="19">
        <v>-1.9286535168170111</v>
      </c>
      <c r="G81" s="19">
        <v>3.2145322381020001</v>
      </c>
      <c r="H81" s="19">
        <v>3.214</v>
      </c>
      <c r="I81" s="19">
        <v>-1.6557248849193367</v>
      </c>
      <c r="J81" s="19">
        <v>3.2160000000000002</v>
      </c>
      <c r="K81" s="19">
        <v>4.5660201524896236</v>
      </c>
    </row>
    <row r="82" spans="1:11" x14ac:dyDescent="0.3">
      <c r="A82" s="153">
        <v>44292.431816666664</v>
      </c>
      <c r="B82" s="19">
        <v>361.81978249959718</v>
      </c>
      <c r="C82" s="19">
        <v>361.8</v>
      </c>
      <c r="D82" s="19">
        <v>-0.54675008261031355</v>
      </c>
      <c r="E82" s="19">
        <v>361.85</v>
      </c>
      <c r="F82" s="19">
        <v>0.83515335159638393</v>
      </c>
      <c r="G82" s="19">
        <v>3.2145322381020001</v>
      </c>
      <c r="H82" s="19">
        <v>3.214</v>
      </c>
      <c r="I82" s="19">
        <v>-1.6557248849193367</v>
      </c>
      <c r="J82" s="19">
        <v>3.2160000000000002</v>
      </c>
      <c r="K82" s="19">
        <v>4.5660201524896236</v>
      </c>
    </row>
    <row r="83" spans="1:11" x14ac:dyDescent="0.3">
      <c r="A83" s="153">
        <v>44292.431875115741</v>
      </c>
      <c r="B83" s="19">
        <v>361.79198841243374</v>
      </c>
      <c r="C83" s="19">
        <v>361.8</v>
      </c>
      <c r="D83" s="19">
        <v>0.22144181802997059</v>
      </c>
      <c r="E83" s="19">
        <v>361.85</v>
      </c>
      <c r="F83" s="19">
        <v>1.6034514147436665</v>
      </c>
      <c r="G83" s="19">
        <v>3.2142622981019997</v>
      </c>
      <c r="H83" s="19">
        <v>3.214</v>
      </c>
      <c r="I83" s="19">
        <v>-0.81604448446731126</v>
      </c>
      <c r="J83" s="19">
        <v>3.2160000000000002</v>
      </c>
      <c r="K83" s="19">
        <v>5.4062230671920863</v>
      </c>
    </row>
    <row r="84" spans="1:11" x14ac:dyDescent="0.3">
      <c r="A84" s="153">
        <v>44292.433063888886</v>
      </c>
      <c r="B84" s="19">
        <v>361.81772612968348</v>
      </c>
      <c r="C84" s="19">
        <v>361.7</v>
      </c>
      <c r="D84" s="19">
        <v>-3.2537413504526391</v>
      </c>
      <c r="E84" s="19">
        <v>361.8</v>
      </c>
      <c r="F84" s="19">
        <v>-0.48991877410433371</v>
      </c>
      <c r="G84" s="19">
        <v>3.2145915531420002</v>
      </c>
      <c r="H84" s="19">
        <v>3.214</v>
      </c>
      <c r="I84" s="19">
        <v>-1.8402124569201241</v>
      </c>
      <c r="J84" s="19">
        <v>3.2160000000000002</v>
      </c>
      <c r="K84" s="19">
        <v>4.3814177780171502</v>
      </c>
    </row>
    <row r="85" spans="1:11" x14ac:dyDescent="0.3">
      <c r="A85" s="153">
        <v>44292.433116435182</v>
      </c>
      <c r="B85" s="19">
        <v>361.81772612968348</v>
      </c>
      <c r="C85" s="19">
        <v>361.75</v>
      </c>
      <c r="D85" s="19">
        <v>-1.8718300622784865</v>
      </c>
      <c r="E85" s="19">
        <v>361.8</v>
      </c>
      <c r="F85" s="19">
        <v>-0.48991877410433371</v>
      </c>
      <c r="G85" s="19">
        <v>3.2145915531420002</v>
      </c>
      <c r="H85" s="19">
        <v>3.214</v>
      </c>
      <c r="I85" s="19">
        <v>-1.8402124569201241</v>
      </c>
      <c r="J85" s="19">
        <v>3.2160000000000002</v>
      </c>
      <c r="K85" s="19">
        <v>4.3814177780171502</v>
      </c>
    </row>
    <row r="86" spans="1:11" x14ac:dyDescent="0.3">
      <c r="A86" s="153">
        <v>44292.433171412034</v>
      </c>
      <c r="B86" s="19">
        <v>361.87426600110581</v>
      </c>
      <c r="C86" s="19">
        <v>361.75</v>
      </c>
      <c r="D86" s="19">
        <v>-3.4339551822518781</v>
      </c>
      <c r="E86" s="19">
        <v>361.8</v>
      </c>
      <c r="F86" s="19">
        <v>-2.0522598063265129</v>
      </c>
      <c r="G86" s="19">
        <v>3.2151401531419994</v>
      </c>
      <c r="H86" s="19">
        <v>3.214</v>
      </c>
      <c r="I86" s="19">
        <v>-3.5462004382148908</v>
      </c>
      <c r="J86" s="19">
        <v>3.2160000000000002</v>
      </c>
      <c r="K86" s="19">
        <v>2.6743681987253112</v>
      </c>
    </row>
    <row r="87" spans="1:11" x14ac:dyDescent="0.3">
      <c r="A87" s="153">
        <v>44292.43322939815</v>
      </c>
      <c r="B87" s="19">
        <v>361.87426600110581</v>
      </c>
      <c r="C87" s="19">
        <v>361.75</v>
      </c>
      <c r="D87" s="19">
        <v>-3.4339551822518781</v>
      </c>
      <c r="E87" s="19">
        <v>361.85</v>
      </c>
      <c r="F87" s="19">
        <v>-0.67056443040114722</v>
      </c>
      <c r="G87" s="19">
        <v>3.2150461731419995</v>
      </c>
      <c r="H87" s="19">
        <v>3.214</v>
      </c>
      <c r="I87" s="19">
        <v>-3.2539910335940929</v>
      </c>
      <c r="J87" s="19">
        <v>3.2160000000000002</v>
      </c>
      <c r="K87" s="19">
        <v>2.9667594386943481</v>
      </c>
    </row>
    <row r="88" spans="1:11" x14ac:dyDescent="0.3">
      <c r="A88" s="153">
        <v>44292.433287384258</v>
      </c>
      <c r="B88" s="19">
        <v>361.87426600110581</v>
      </c>
      <c r="C88" s="19">
        <v>361.75</v>
      </c>
      <c r="D88" s="19">
        <v>-3.4339551822518781</v>
      </c>
      <c r="E88" s="19">
        <v>361.85</v>
      </c>
      <c r="F88" s="19">
        <v>-0.67056443040114722</v>
      </c>
      <c r="G88" s="19">
        <v>3.2150461731419995</v>
      </c>
      <c r="H88" s="19">
        <v>3.214</v>
      </c>
      <c r="I88" s="19">
        <v>-3.2539910335940929</v>
      </c>
      <c r="J88" s="19">
        <v>3.2160000000000002</v>
      </c>
      <c r="K88" s="19">
        <v>2.9667594386943481</v>
      </c>
    </row>
    <row r="89" spans="1:11" x14ac:dyDescent="0.3">
      <c r="A89" s="153">
        <v>44292.576036458333</v>
      </c>
      <c r="B89" s="19">
        <v>360.85836394573994</v>
      </c>
      <c r="C89" s="19">
        <v>360.75</v>
      </c>
      <c r="D89" s="19">
        <v>-3.0029495382912224</v>
      </c>
      <c r="E89" s="19">
        <v>360.8</v>
      </c>
      <c r="F89" s="19">
        <v>-1.6173643615117379</v>
      </c>
      <c r="G89" s="19">
        <v>3.2022622788100001</v>
      </c>
      <c r="H89" s="19">
        <v>3.202</v>
      </c>
      <c r="I89" s="19">
        <v>-0.81904224939891157</v>
      </c>
      <c r="J89" s="19">
        <v>3.2050000000000001</v>
      </c>
      <c r="K89" s="19">
        <v>8.5493346629224316</v>
      </c>
    </row>
    <row r="90" spans="1:11" x14ac:dyDescent="0.3">
      <c r="A90" s="153">
        <v>44292.576088657406</v>
      </c>
      <c r="B90" s="19">
        <v>360.8814651858857</v>
      </c>
      <c r="C90" s="19">
        <v>360.8</v>
      </c>
      <c r="D90" s="19">
        <v>-2.2573945670423607</v>
      </c>
      <c r="E90" s="19">
        <v>360.85</v>
      </c>
      <c r="F90" s="19">
        <v>-0.87189808624479537</v>
      </c>
      <c r="G90" s="19">
        <v>3.2030214888100006</v>
      </c>
      <c r="H90" s="19">
        <v>3.202</v>
      </c>
      <c r="I90" s="19">
        <v>-3.1891412953965053</v>
      </c>
      <c r="J90" s="19">
        <v>3.2050000000000001</v>
      </c>
      <c r="K90" s="19">
        <v>6.1770150369317109</v>
      </c>
    </row>
    <row r="91" spans="1:11" x14ac:dyDescent="0.3">
      <c r="A91" s="153">
        <v>44292.576145949075</v>
      </c>
      <c r="B91" s="19">
        <v>360.8814651858857</v>
      </c>
      <c r="C91" s="19">
        <v>360.8</v>
      </c>
      <c r="D91" s="19">
        <v>-2.2573945670423607</v>
      </c>
      <c r="E91" s="19">
        <v>360.85</v>
      </c>
      <c r="F91" s="19">
        <v>-0.87189808624479537</v>
      </c>
      <c r="G91" s="19">
        <v>3.2024201388100004</v>
      </c>
      <c r="H91" s="19">
        <v>3.202</v>
      </c>
      <c r="I91" s="19">
        <v>-1.3119415685307017</v>
      </c>
      <c r="J91" s="19">
        <v>3.2050000000000001</v>
      </c>
      <c r="K91" s="19">
        <v>8.0559735393067573</v>
      </c>
    </row>
    <row r="92" spans="1:11" x14ac:dyDescent="0.3">
      <c r="A92" s="153">
        <v>44292.576204513891</v>
      </c>
      <c r="B92" s="19">
        <v>360.8424242764716</v>
      </c>
      <c r="C92" s="19">
        <v>360.8</v>
      </c>
      <c r="D92" s="19">
        <v>-1.1757009048106815</v>
      </c>
      <c r="E92" s="19">
        <v>360.85</v>
      </c>
      <c r="F92" s="19">
        <v>0.20994547810193806</v>
      </c>
      <c r="G92" s="19">
        <v>3.2021538788100004</v>
      </c>
      <c r="H92" s="19">
        <v>3.202</v>
      </c>
      <c r="I92" s="19">
        <v>-0.48054783069195117</v>
      </c>
      <c r="J92" s="19">
        <v>3.2050000000000001</v>
      </c>
      <c r="K92" s="19">
        <v>8.8881462219342389</v>
      </c>
    </row>
    <row r="93" spans="1:11" x14ac:dyDescent="0.3">
      <c r="A93" s="153">
        <v>44292.576262268522</v>
      </c>
      <c r="B93" s="19">
        <v>360.8424242764716</v>
      </c>
      <c r="C93" s="19">
        <v>360.8</v>
      </c>
      <c r="D93" s="19">
        <v>-1.1757009048106815</v>
      </c>
      <c r="E93" s="19">
        <v>360.85</v>
      </c>
      <c r="F93" s="19">
        <v>0.20994547810193806</v>
      </c>
      <c r="G93" s="19">
        <v>3.2021538788100004</v>
      </c>
      <c r="H93" s="19">
        <v>3.202</v>
      </c>
      <c r="I93" s="19">
        <v>-0.48054783069195117</v>
      </c>
      <c r="J93" s="19">
        <v>3.2050000000000001</v>
      </c>
      <c r="K93" s="19">
        <v>8.8881462219342389</v>
      </c>
    </row>
    <row r="94" spans="1:11" x14ac:dyDescent="0.3">
      <c r="A94" s="153">
        <v>44292.576319560183</v>
      </c>
      <c r="B94" s="19">
        <v>360.8424242764716</v>
      </c>
      <c r="C94" s="19">
        <v>360.8</v>
      </c>
      <c r="D94" s="19">
        <v>-1.1757009048106815</v>
      </c>
      <c r="E94" s="19">
        <v>360.85</v>
      </c>
      <c r="F94" s="19">
        <v>0.20994547810193806</v>
      </c>
      <c r="G94" s="19">
        <v>3.2022478588100003</v>
      </c>
      <c r="H94" s="19">
        <v>3.202</v>
      </c>
      <c r="I94" s="19">
        <v>-0.77401506981549528</v>
      </c>
      <c r="J94" s="19">
        <v>3.2050000000000001</v>
      </c>
      <c r="K94" s="19">
        <v>8.5944040291200725</v>
      </c>
    </row>
    <row r="95" spans="1:11" x14ac:dyDescent="0.3">
      <c r="A95" s="153">
        <v>44292.576378124999</v>
      </c>
      <c r="B95" s="19">
        <v>360.8424242764716</v>
      </c>
      <c r="C95" s="19">
        <v>360.8</v>
      </c>
      <c r="D95" s="19">
        <v>-1.1757009048106815</v>
      </c>
      <c r="E95" s="19">
        <v>360.85</v>
      </c>
      <c r="F95" s="19">
        <v>0.20994547810193806</v>
      </c>
      <c r="G95" s="19">
        <v>3.2022478588100003</v>
      </c>
      <c r="H95" s="19">
        <v>3.202</v>
      </c>
      <c r="I95" s="19">
        <v>-0.77401506981549528</v>
      </c>
      <c r="J95" s="19">
        <v>3.2050000000000001</v>
      </c>
      <c r="K95" s="19">
        <v>8.5944040291200725</v>
      </c>
    </row>
    <row r="96" spans="1:11" x14ac:dyDescent="0.3">
      <c r="A96" s="153">
        <v>44292.57643587963</v>
      </c>
      <c r="B96" s="19">
        <v>360.8424242764716</v>
      </c>
      <c r="C96" s="19">
        <v>360.75</v>
      </c>
      <c r="D96" s="19">
        <v>-2.5613472877233012</v>
      </c>
      <c r="E96" s="19">
        <v>360.8</v>
      </c>
      <c r="F96" s="19">
        <v>-1.1757009048106815</v>
      </c>
      <c r="G96" s="19">
        <v>3.2022478588100003</v>
      </c>
      <c r="H96" s="19">
        <v>3.202</v>
      </c>
      <c r="I96" s="19">
        <v>-0.77401506981549528</v>
      </c>
      <c r="J96" s="19">
        <v>3.2050000000000001</v>
      </c>
      <c r="K96" s="19">
        <v>8.5944040291200725</v>
      </c>
    </row>
    <row r="97" spans="1:11" x14ac:dyDescent="0.3">
      <c r="A97" s="153">
        <v>44292.576493171298</v>
      </c>
      <c r="B97" s="19">
        <v>360.84590203549578</v>
      </c>
      <c r="C97" s="19">
        <v>360.75</v>
      </c>
      <c r="D97" s="19">
        <v>-2.6577005573517414</v>
      </c>
      <c r="E97" s="19">
        <v>360.8</v>
      </c>
      <c r="F97" s="19">
        <v>-1.2720675290156473</v>
      </c>
      <c r="G97" s="19">
        <v>3.2022748388100002</v>
      </c>
      <c r="H97" s="19">
        <v>3.202</v>
      </c>
      <c r="I97" s="19">
        <v>-0.85826115444346451</v>
      </c>
      <c r="J97" s="19">
        <v>3.2050000000000001</v>
      </c>
      <c r="K97" s="19">
        <v>8.5100790131198725</v>
      </c>
    </row>
    <row r="98" spans="1:11" x14ac:dyDescent="0.3">
      <c r="A98" s="153">
        <v>44292.576551041668</v>
      </c>
      <c r="B98" s="19">
        <v>360.83400949433297</v>
      </c>
      <c r="C98" s="19">
        <v>360.75</v>
      </c>
      <c r="D98" s="19">
        <v>-2.3282033323495233</v>
      </c>
      <c r="E98" s="19">
        <v>360.8</v>
      </c>
      <c r="F98" s="19">
        <v>-0.9425246356523751</v>
      </c>
      <c r="G98" s="19">
        <v>3.2021898588100002</v>
      </c>
      <c r="H98" s="19">
        <v>3.202</v>
      </c>
      <c r="I98" s="19">
        <v>-0.59290303939309896</v>
      </c>
      <c r="J98" s="19">
        <v>3.2050000000000001</v>
      </c>
      <c r="K98" s="19">
        <v>8.7756857460169435</v>
      </c>
    </row>
    <row r="99" spans="1:11" x14ac:dyDescent="0.3">
      <c r="A99" s="153">
        <v>44292.576609490738</v>
      </c>
      <c r="B99" s="19">
        <v>360.7962515882362</v>
      </c>
      <c r="C99" s="19">
        <v>360.7</v>
      </c>
      <c r="D99" s="19">
        <v>-2.6677546624309869</v>
      </c>
      <c r="E99" s="19">
        <v>360.75</v>
      </c>
      <c r="F99" s="19">
        <v>-1.2819309522369415</v>
      </c>
      <c r="G99" s="19">
        <v>3.2016129988100004</v>
      </c>
      <c r="H99" s="19">
        <v>3.202</v>
      </c>
      <c r="I99" s="19">
        <v>1.2087694238604512</v>
      </c>
      <c r="J99" s="19">
        <v>3.2040000000000002</v>
      </c>
      <c r="K99" s="19">
        <v>7.4556206227517565</v>
      </c>
    </row>
    <row r="100" spans="1:11" x14ac:dyDescent="0.3">
      <c r="A100" s="153">
        <v>44292.576667361114</v>
      </c>
      <c r="B100" s="19">
        <v>360.7962515882362</v>
      </c>
      <c r="C100" s="19">
        <v>360.7</v>
      </c>
      <c r="D100" s="19">
        <v>-2.6677546624309869</v>
      </c>
      <c r="E100" s="19">
        <v>360.75</v>
      </c>
      <c r="F100" s="19">
        <v>-1.2819309522369415</v>
      </c>
      <c r="G100" s="19">
        <v>3.2016129988100004</v>
      </c>
      <c r="H100" s="19">
        <v>3.202</v>
      </c>
      <c r="I100" s="19">
        <v>1.2087694238604512</v>
      </c>
      <c r="J100" s="19">
        <v>3.2040000000000002</v>
      </c>
      <c r="K100" s="19">
        <v>7.4556206227517565</v>
      </c>
    </row>
    <row r="101" spans="1:11" x14ac:dyDescent="0.3">
      <c r="A101" s="153">
        <v>44292.576725231484</v>
      </c>
      <c r="B101" s="19">
        <v>360.675443137434</v>
      </c>
      <c r="C101" s="19">
        <v>360.7</v>
      </c>
      <c r="D101" s="19">
        <v>0.68085762513722903</v>
      </c>
      <c r="E101" s="19">
        <v>360.75</v>
      </c>
      <c r="F101" s="19">
        <v>2.0671455177942031</v>
      </c>
      <c r="G101" s="19">
        <v>3.2008345788099999</v>
      </c>
      <c r="H101" s="19">
        <v>3.202</v>
      </c>
      <c r="I101" s="19">
        <v>3.640991626731767</v>
      </c>
      <c r="J101" s="19">
        <v>3.2040000000000002</v>
      </c>
      <c r="K101" s="19">
        <v>9.8893620150065029</v>
      </c>
    </row>
    <row r="102" spans="1:11" x14ac:dyDescent="0.3">
      <c r="A102" s="153">
        <v>44292.576782638891</v>
      </c>
      <c r="B102" s="19">
        <v>360.83482717847539</v>
      </c>
      <c r="C102" s="19">
        <v>360.7</v>
      </c>
      <c r="D102" s="19">
        <v>-3.7365345116400519</v>
      </c>
      <c r="E102" s="19">
        <v>360.75</v>
      </c>
      <c r="F102" s="19">
        <v>-2.3508589550153451</v>
      </c>
      <c r="G102" s="19">
        <v>3.20197659881</v>
      </c>
      <c r="H102" s="19">
        <v>3.202</v>
      </c>
      <c r="I102" s="19">
        <v>7.30835759658304E-2</v>
      </c>
      <c r="J102" s="19">
        <v>3.2040000000000002</v>
      </c>
      <c r="K102" s="19">
        <v>6.3192254145523918</v>
      </c>
    </row>
    <row r="103" spans="1:11" x14ac:dyDescent="0.3">
      <c r="A103" s="153">
        <v>44292.576840972222</v>
      </c>
      <c r="B103" s="19">
        <v>360.79008939659695</v>
      </c>
      <c r="C103" s="19">
        <v>360.7</v>
      </c>
      <c r="D103" s="19">
        <v>-2.4970030841932416</v>
      </c>
      <c r="E103" s="19">
        <v>360.75</v>
      </c>
      <c r="F103" s="19">
        <v>-1.1111557045261942</v>
      </c>
      <c r="G103" s="19">
        <v>3.2018023988099999</v>
      </c>
      <c r="H103" s="19">
        <v>3.202</v>
      </c>
      <c r="I103" s="19">
        <v>0.61715610580293467</v>
      </c>
      <c r="J103" s="19">
        <v>3.2040000000000002</v>
      </c>
      <c r="K103" s="19">
        <v>6.8636377773250592</v>
      </c>
    </row>
    <row r="104" spans="1:11" x14ac:dyDescent="0.3">
      <c r="A104" s="153">
        <v>44292.576898263891</v>
      </c>
      <c r="B104" s="19">
        <v>360.79008939659695</v>
      </c>
      <c r="C104" s="19">
        <v>360.7</v>
      </c>
      <c r="D104" s="19">
        <v>-2.4970030841932416</v>
      </c>
      <c r="E104" s="19">
        <v>360.75</v>
      </c>
      <c r="F104" s="19">
        <v>-1.1111557045261942</v>
      </c>
      <c r="G104" s="19">
        <v>3.2018023988099999</v>
      </c>
      <c r="H104" s="19">
        <v>3.202</v>
      </c>
      <c r="I104" s="19">
        <v>0.61715610580293467</v>
      </c>
      <c r="J104" s="19">
        <v>3.2040000000000002</v>
      </c>
      <c r="K104" s="19">
        <v>6.8636377773250592</v>
      </c>
    </row>
    <row r="105" spans="1:11" x14ac:dyDescent="0.3">
      <c r="A105" s="153">
        <v>44292.576956712961</v>
      </c>
      <c r="B105" s="19">
        <v>360.76351039742707</v>
      </c>
      <c r="C105" s="19">
        <v>360.7</v>
      </c>
      <c r="D105" s="19">
        <v>-1.7604440470466574</v>
      </c>
      <c r="E105" s="19">
        <v>360.75</v>
      </c>
      <c r="F105" s="19">
        <v>-0.37449456604371478</v>
      </c>
      <c r="G105" s="19">
        <v>3.2014920388100001</v>
      </c>
      <c r="H105" s="19">
        <v>3.202</v>
      </c>
      <c r="I105" s="19">
        <v>1.5866389291058816</v>
      </c>
      <c r="J105" s="19">
        <v>3.2050000000000001</v>
      </c>
      <c r="K105" s="19">
        <v>10.957269758833693</v>
      </c>
    </row>
    <row r="106" spans="1:11" x14ac:dyDescent="0.3">
      <c r="A106" s="153">
        <v>44292.57701400463</v>
      </c>
      <c r="B106" s="19">
        <v>360.79008939659695</v>
      </c>
      <c r="C106" s="19">
        <v>360.7</v>
      </c>
      <c r="D106" s="19">
        <v>-2.4970030841932416</v>
      </c>
      <c r="E106" s="19">
        <v>360.75</v>
      </c>
      <c r="F106" s="19">
        <v>-1.1111557045261942</v>
      </c>
      <c r="G106" s="19">
        <v>3.2016249430400001</v>
      </c>
      <c r="H106" s="19">
        <v>3.202</v>
      </c>
      <c r="I106" s="19">
        <v>1.171458139764862</v>
      </c>
      <c r="J106" s="19">
        <v>3.2050000000000001</v>
      </c>
      <c r="K106" s="19">
        <v>10.541699980620711</v>
      </c>
    </row>
    <row r="107" spans="1:11" x14ac:dyDescent="0.3">
      <c r="A107" s="153">
        <v>44292.577072453707</v>
      </c>
      <c r="B107" s="19">
        <v>360.79008939659695</v>
      </c>
      <c r="C107" s="19">
        <v>360.7</v>
      </c>
      <c r="D107" s="19">
        <v>-2.4970030841932416</v>
      </c>
      <c r="E107" s="19">
        <v>360.75</v>
      </c>
      <c r="F107" s="19">
        <v>-1.1111557045261942</v>
      </c>
      <c r="G107" s="19">
        <v>3.2018274423680002</v>
      </c>
      <c r="H107" s="19">
        <v>3.202</v>
      </c>
      <c r="I107" s="19">
        <v>0.53893482739384657</v>
      </c>
      <c r="J107" s="19">
        <v>3.2050000000000001</v>
      </c>
      <c r="K107" s="19">
        <v>9.9085840480319831</v>
      </c>
    </row>
    <row r="108" spans="1:11" x14ac:dyDescent="0.3">
      <c r="A108" s="153">
        <v>44292.577130324076</v>
      </c>
      <c r="B108" s="19">
        <v>360.74252037837562</v>
      </c>
      <c r="C108" s="19">
        <v>360.7</v>
      </c>
      <c r="D108" s="19">
        <v>-1.1786905056556298</v>
      </c>
      <c r="E108" s="19">
        <v>360.75</v>
      </c>
      <c r="F108" s="19">
        <v>0.20733961764581441</v>
      </c>
      <c r="G108" s="19">
        <v>3.2015939623680003</v>
      </c>
      <c r="H108" s="19">
        <v>3.202</v>
      </c>
      <c r="I108" s="19">
        <v>1.268235874918151</v>
      </c>
      <c r="J108" s="19">
        <v>3.2050000000000001</v>
      </c>
      <c r="K108" s="19">
        <v>10.638568388230423</v>
      </c>
    </row>
    <row r="109" spans="1:11" x14ac:dyDescent="0.3">
      <c r="A109" s="153">
        <v>44292.577188310184</v>
      </c>
      <c r="B109" s="19">
        <v>360.75846004764401</v>
      </c>
      <c r="C109" s="19">
        <v>360.7</v>
      </c>
      <c r="D109" s="19">
        <v>-1.6204761389739297</v>
      </c>
      <c r="E109" s="19">
        <v>360.75</v>
      </c>
      <c r="F109" s="19">
        <v>-0.23450725571037284</v>
      </c>
      <c r="G109" s="19">
        <v>3.2017023623680001</v>
      </c>
      <c r="H109" s="19">
        <v>3.202</v>
      </c>
      <c r="I109" s="19">
        <v>0.92962305146854396</v>
      </c>
      <c r="J109" s="19">
        <v>3.2040000000000002</v>
      </c>
      <c r="K109" s="19">
        <v>7.1762998928505475</v>
      </c>
    </row>
    <row r="110" spans="1:11" x14ac:dyDescent="0.3">
      <c r="A110" s="153">
        <v>44292.577246064815</v>
      </c>
      <c r="B110" s="19">
        <v>360.75846004764401</v>
      </c>
      <c r="C110" s="19">
        <v>360.7</v>
      </c>
      <c r="D110" s="19">
        <v>-1.6204761389739297</v>
      </c>
      <c r="E110" s="19">
        <v>360.75</v>
      </c>
      <c r="F110" s="19">
        <v>-0.23450725571037284</v>
      </c>
      <c r="G110" s="19">
        <v>3.2017023623680001</v>
      </c>
      <c r="H110" s="19">
        <v>3.202</v>
      </c>
      <c r="I110" s="19">
        <v>0.92962305146854396</v>
      </c>
      <c r="J110" s="19">
        <v>3.2040000000000002</v>
      </c>
      <c r="K110" s="19">
        <v>7.1762998928505475</v>
      </c>
    </row>
    <row r="111" spans="1:11" x14ac:dyDescent="0.3">
      <c r="A111" s="153">
        <v>44292.577303935184</v>
      </c>
      <c r="B111" s="19">
        <v>360.75846004764401</v>
      </c>
      <c r="C111" s="19">
        <v>360.7</v>
      </c>
      <c r="D111" s="19">
        <v>-1.6204761389739297</v>
      </c>
      <c r="E111" s="19">
        <v>360.75</v>
      </c>
      <c r="F111" s="19">
        <v>-0.23450725571037284</v>
      </c>
      <c r="G111" s="19">
        <v>3.2017023623680001</v>
      </c>
      <c r="H111" s="19">
        <v>3.202</v>
      </c>
      <c r="I111" s="19">
        <v>0.92962305146854396</v>
      </c>
      <c r="J111" s="19">
        <v>3.2040000000000002</v>
      </c>
      <c r="K111" s="19">
        <v>7.1762998928505475</v>
      </c>
    </row>
    <row r="112" spans="1:11" x14ac:dyDescent="0.3">
      <c r="A112" s="153">
        <v>44292.577361805554</v>
      </c>
      <c r="B112" s="19">
        <v>360.65209431111032</v>
      </c>
      <c r="C112" s="19">
        <v>360.7</v>
      </c>
      <c r="D112" s="19">
        <v>1.3283075197768215</v>
      </c>
      <c r="E112" s="19">
        <v>360.75</v>
      </c>
      <c r="F112" s="19">
        <v>2.7146851615181653</v>
      </c>
      <c r="G112" s="19">
        <v>3.2010878223680002</v>
      </c>
      <c r="H112" s="19">
        <v>3.202</v>
      </c>
      <c r="I112" s="19">
        <v>2.849586398804322</v>
      </c>
      <c r="J112" s="19">
        <v>3.2040000000000002</v>
      </c>
      <c r="K112" s="19">
        <v>9.0974624677611775</v>
      </c>
    </row>
    <row r="113" spans="1:11" x14ac:dyDescent="0.3">
      <c r="A113" s="153">
        <v>44292.577419212961</v>
      </c>
      <c r="B113" s="19">
        <v>360.65209431111032</v>
      </c>
      <c r="C113" s="19">
        <v>360.7</v>
      </c>
      <c r="D113" s="19">
        <v>1.3283075197768215</v>
      </c>
      <c r="E113" s="19">
        <v>360.75</v>
      </c>
      <c r="F113" s="19">
        <v>2.7146851615181653</v>
      </c>
      <c r="G113" s="19">
        <v>3.2008744023679996</v>
      </c>
      <c r="H113" s="19">
        <v>3.202</v>
      </c>
      <c r="I113" s="19">
        <v>3.5165317051105163</v>
      </c>
      <c r="J113" s="19">
        <v>3.2040000000000002</v>
      </c>
      <c r="K113" s="19">
        <v>9.7648243545210285</v>
      </c>
    </row>
    <row r="114" spans="1:11" x14ac:dyDescent="0.3">
      <c r="A114" s="153">
        <v>44292.577477199076</v>
      </c>
      <c r="B114" s="19">
        <v>360.731031154221</v>
      </c>
      <c r="C114" s="19">
        <v>360.7</v>
      </c>
      <c r="D114" s="19">
        <v>-0.86022968752430395</v>
      </c>
      <c r="E114" s="19">
        <v>360.75</v>
      </c>
      <c r="F114" s="19">
        <v>0.52584458060915173</v>
      </c>
      <c r="G114" s="19">
        <v>3.2012363023679997</v>
      </c>
      <c r="H114" s="19">
        <v>3.202</v>
      </c>
      <c r="I114" s="19">
        <v>2.3856334236723469</v>
      </c>
      <c r="J114" s="19">
        <v>3.2040000000000002</v>
      </c>
      <c r="K114" s="19">
        <v>8.6332197031381757</v>
      </c>
    </row>
    <row r="115" spans="1:11" x14ac:dyDescent="0.3">
      <c r="A115" s="153">
        <v>44292.577535185184</v>
      </c>
      <c r="B115" s="19">
        <v>360.75413239436671</v>
      </c>
      <c r="C115" s="19">
        <v>360.7</v>
      </c>
      <c r="D115" s="19">
        <v>-1.5005342837637115</v>
      </c>
      <c r="E115" s="19">
        <v>360.75</v>
      </c>
      <c r="F115" s="19">
        <v>-0.11454877423799616</v>
      </c>
      <c r="G115" s="19">
        <v>3.2016075823680001</v>
      </c>
      <c r="H115" s="19">
        <v>3.202</v>
      </c>
      <c r="I115" s="19">
        <v>1.2256893510652431</v>
      </c>
      <c r="J115" s="19">
        <v>3.2040000000000002</v>
      </c>
      <c r="K115" s="19">
        <v>7.4725511183058337</v>
      </c>
    </row>
    <row r="116" spans="1:11" x14ac:dyDescent="0.3">
      <c r="A116" s="153">
        <v>44292.577593287038</v>
      </c>
      <c r="B116" s="19">
        <v>360.76085970039833</v>
      </c>
      <c r="C116" s="19">
        <v>360.7</v>
      </c>
      <c r="D116" s="19">
        <v>-1.6869817986596816</v>
      </c>
      <c r="E116" s="19">
        <v>360.75</v>
      </c>
      <c r="F116" s="19">
        <v>-0.30102213436752551</v>
      </c>
      <c r="G116" s="19">
        <v>3.2016560423680001</v>
      </c>
      <c r="H116" s="19">
        <v>3.202</v>
      </c>
      <c r="I116" s="19">
        <v>1.0743116295075399</v>
      </c>
      <c r="J116" s="19">
        <v>3.2050000000000001</v>
      </c>
      <c r="K116" s="19">
        <v>10.444462452396253</v>
      </c>
    </row>
    <row r="117" spans="1:11" x14ac:dyDescent="0.3">
      <c r="A117" s="153">
        <v>44292.577651157408</v>
      </c>
      <c r="B117" s="19">
        <v>360.71509148495267</v>
      </c>
      <c r="C117" s="19">
        <v>360.7</v>
      </c>
      <c r="D117" s="19">
        <v>-0.41837686608980257</v>
      </c>
      <c r="E117" s="19">
        <v>360.75</v>
      </c>
      <c r="F117" s="19">
        <v>0.96775865139511352</v>
      </c>
      <c r="G117" s="19">
        <v>3.2013413223679996</v>
      </c>
      <c r="H117" s="19">
        <v>3.202</v>
      </c>
      <c r="I117" s="19">
        <v>2.0575051694679036</v>
      </c>
      <c r="J117" s="19">
        <v>3.2050000000000001</v>
      </c>
      <c r="K117" s="19">
        <v>11.428577160570196</v>
      </c>
    </row>
    <row r="118" spans="1:11" x14ac:dyDescent="0.3">
      <c r="A118" s="153">
        <v>44292.577708449076</v>
      </c>
      <c r="B118" s="19">
        <v>360.68320734673659</v>
      </c>
      <c r="C118" s="19">
        <v>360.7</v>
      </c>
      <c r="D118" s="19">
        <v>0.46557901563880844</v>
      </c>
      <c r="E118" s="19">
        <v>360.75</v>
      </c>
      <c r="F118" s="19">
        <v>1.8518370665145933</v>
      </c>
      <c r="G118" s="19">
        <v>3.2009873149199994</v>
      </c>
      <c r="H118" s="19">
        <v>3.202</v>
      </c>
      <c r="I118" s="19">
        <v>3.163664770804719</v>
      </c>
      <c r="J118" s="19">
        <v>3.2050000000000001</v>
      </c>
      <c r="K118" s="19">
        <v>12.535773138797708</v>
      </c>
    </row>
    <row r="119" spans="1:11" x14ac:dyDescent="0.3">
      <c r="A119" s="153">
        <v>44292.577766435184</v>
      </c>
      <c r="B119" s="19">
        <v>360.68320734673659</v>
      </c>
      <c r="C119" s="19">
        <v>360.7</v>
      </c>
      <c r="D119" s="19">
        <v>0.46557901563880844</v>
      </c>
      <c r="E119" s="19">
        <v>360.75</v>
      </c>
      <c r="F119" s="19">
        <v>1.8518370665145933</v>
      </c>
      <c r="G119" s="19">
        <v>3.2009873149199994</v>
      </c>
      <c r="H119" s="19">
        <v>3.202</v>
      </c>
      <c r="I119" s="19">
        <v>3.163664770804719</v>
      </c>
      <c r="J119" s="19">
        <v>3.2050000000000001</v>
      </c>
      <c r="K119" s="19">
        <v>12.535773138797708</v>
      </c>
    </row>
    <row r="120" spans="1:11" x14ac:dyDescent="0.3">
      <c r="A120" s="153">
        <v>44292.577824305554</v>
      </c>
      <c r="B120" s="19">
        <v>360.68320734673659</v>
      </c>
      <c r="C120" s="19">
        <v>360.7</v>
      </c>
      <c r="D120" s="19">
        <v>0.46557901563880844</v>
      </c>
      <c r="E120" s="19">
        <v>360.75</v>
      </c>
      <c r="F120" s="19">
        <v>1.8518370665145933</v>
      </c>
      <c r="G120" s="19">
        <v>3.2008180349199997</v>
      </c>
      <c r="H120" s="19">
        <v>3.202</v>
      </c>
      <c r="I120" s="19">
        <v>3.6926968890619158</v>
      </c>
      <c r="J120" s="19">
        <v>3.2050000000000001</v>
      </c>
      <c r="K120" s="19">
        <v>13.06530091487963</v>
      </c>
    </row>
    <row r="121" spans="1:11" x14ac:dyDescent="0.3">
      <c r="A121" s="153">
        <v>44292.577882638892</v>
      </c>
      <c r="B121" s="19">
        <v>360.68320734673659</v>
      </c>
      <c r="C121" s="19">
        <v>360.7</v>
      </c>
      <c r="D121" s="19">
        <v>0.46557901563880844</v>
      </c>
      <c r="E121" s="19">
        <v>360.75</v>
      </c>
      <c r="F121" s="19">
        <v>1.8518370665145933</v>
      </c>
      <c r="G121" s="19">
        <v>3.2008180349199997</v>
      </c>
      <c r="H121" s="19">
        <v>3.202</v>
      </c>
      <c r="I121" s="19">
        <v>3.6926968890619158</v>
      </c>
      <c r="J121" s="19">
        <v>3.2040000000000002</v>
      </c>
      <c r="K121" s="19">
        <v>9.9410995729408551</v>
      </c>
    </row>
    <row r="122" spans="1:11" x14ac:dyDescent="0.3">
      <c r="A122" s="153">
        <v>44292.577939930554</v>
      </c>
      <c r="B122" s="19">
        <v>360.84305670695289</v>
      </c>
      <c r="C122" s="19">
        <v>360.7</v>
      </c>
      <c r="D122" s="19">
        <v>-3.9645132224085899</v>
      </c>
      <c r="E122" s="19">
        <v>360.75</v>
      </c>
      <c r="F122" s="19">
        <v>-2.5788692680448713</v>
      </c>
      <c r="G122" s="19">
        <v>3.2016492949199993</v>
      </c>
      <c r="H122" s="19">
        <v>3.202</v>
      </c>
      <c r="I122" s="19">
        <v>1.0953888065040009</v>
      </c>
      <c r="J122" s="19">
        <v>3.2040000000000002</v>
      </c>
      <c r="K122" s="19">
        <v>7.3421691867710983</v>
      </c>
    </row>
    <row r="123" spans="1:11" x14ac:dyDescent="0.3">
      <c r="A123" s="153">
        <v>44292.577997916669</v>
      </c>
      <c r="B123" s="19">
        <v>360.84305670695289</v>
      </c>
      <c r="C123" s="19">
        <v>360.7</v>
      </c>
      <c r="D123" s="19">
        <v>-3.9645132224085899</v>
      </c>
      <c r="E123" s="19">
        <v>360.75</v>
      </c>
      <c r="F123" s="19">
        <v>-2.5788692680448713</v>
      </c>
      <c r="G123" s="19">
        <v>3.2017687349199999</v>
      </c>
      <c r="H123" s="19">
        <v>3.202</v>
      </c>
      <c r="I123" s="19">
        <v>0.72230413607877608</v>
      </c>
      <c r="J123" s="19">
        <v>3.2040000000000002</v>
      </c>
      <c r="K123" s="19">
        <v>6.9688514840720295</v>
      </c>
    </row>
    <row r="124" spans="1:11" x14ac:dyDescent="0.3">
      <c r="A124" s="153">
        <v>44292.5780556713</v>
      </c>
      <c r="B124" s="19">
        <v>360.84095231384856</v>
      </c>
      <c r="C124" s="19">
        <v>360.7</v>
      </c>
      <c r="D124" s="19">
        <v>-3.9062172113429177</v>
      </c>
      <c r="E124" s="19">
        <v>360.75</v>
      </c>
      <c r="F124" s="19">
        <v>-2.5205651760239647</v>
      </c>
      <c r="G124" s="19">
        <v>3.2018700549200001</v>
      </c>
      <c r="H124" s="19">
        <v>3.202</v>
      </c>
      <c r="I124" s="19">
        <v>0.40584120458038703</v>
      </c>
      <c r="J124" s="19">
        <v>3.2050000000000001</v>
      </c>
      <c r="K124" s="19">
        <v>9.7753657278829724</v>
      </c>
    </row>
    <row r="125" spans="1:11" x14ac:dyDescent="0.3">
      <c r="A125" s="153">
        <v>44292.578114004631</v>
      </c>
      <c r="B125" s="19">
        <v>360.84095231384856</v>
      </c>
      <c r="C125" s="19">
        <v>360.7</v>
      </c>
      <c r="D125" s="19">
        <v>-3.9062172113429177</v>
      </c>
      <c r="E125" s="19">
        <v>360.75</v>
      </c>
      <c r="F125" s="19">
        <v>-2.5205651760239647</v>
      </c>
      <c r="G125" s="19">
        <v>3.2021651449199999</v>
      </c>
      <c r="H125" s="19">
        <v>3.202</v>
      </c>
      <c r="I125" s="19">
        <v>-0.51572892879045085</v>
      </c>
      <c r="J125" s="19">
        <v>3.2040000000000002</v>
      </c>
      <c r="K125" s="19">
        <v>5.7300451318418588</v>
      </c>
    </row>
    <row r="126" spans="1:11" x14ac:dyDescent="0.3">
      <c r="A126" s="153">
        <v>44292.578171643516</v>
      </c>
      <c r="B126" s="19">
        <v>360.80871573128076</v>
      </c>
      <c r="C126" s="19">
        <v>360.7</v>
      </c>
      <c r="D126" s="19">
        <v>-3.0131126699759587</v>
      </c>
      <c r="E126" s="19">
        <v>360.75</v>
      </c>
      <c r="F126" s="19">
        <v>-1.6273368330848723</v>
      </c>
      <c r="G126" s="19">
        <v>3.2019762649199999</v>
      </c>
      <c r="H126" s="19">
        <v>3.202</v>
      </c>
      <c r="I126" s="19">
        <v>7.4126345844977237E-2</v>
      </c>
      <c r="J126" s="19">
        <v>3.2050000000000001</v>
      </c>
      <c r="K126" s="19">
        <v>9.4433400807102714</v>
      </c>
    </row>
    <row r="127" spans="1:11" x14ac:dyDescent="0.3">
      <c r="A127" s="153">
        <v>44292.578229861108</v>
      </c>
      <c r="B127" s="19">
        <v>360.80871573128076</v>
      </c>
      <c r="C127" s="19">
        <v>360.7</v>
      </c>
      <c r="D127" s="19">
        <v>-3.0131126699759587</v>
      </c>
      <c r="E127" s="19">
        <v>360.75</v>
      </c>
      <c r="F127" s="19">
        <v>-1.6273368330848723</v>
      </c>
      <c r="G127" s="19">
        <v>3.20214554492</v>
      </c>
      <c r="H127" s="19">
        <v>3.202</v>
      </c>
      <c r="I127" s="19">
        <v>-0.45452312506835085</v>
      </c>
      <c r="J127" s="19">
        <v>3.2050000000000001</v>
      </c>
      <c r="K127" s="19">
        <v>8.9141953104800358</v>
      </c>
    </row>
    <row r="128" spans="1:11" x14ac:dyDescent="0.3">
      <c r="A128" s="153">
        <v>44292.578287384262</v>
      </c>
      <c r="B128" s="19">
        <v>360.78213673211087</v>
      </c>
      <c r="C128" s="19">
        <v>360.7</v>
      </c>
      <c r="D128" s="19">
        <v>-2.2766296816926608</v>
      </c>
      <c r="E128" s="19">
        <v>360.75</v>
      </c>
      <c r="F128" s="19">
        <v>-0.89075175400752304</v>
      </c>
      <c r="G128" s="19">
        <v>3.2017472849199997</v>
      </c>
      <c r="H128" s="19">
        <v>3.202</v>
      </c>
      <c r="I128" s="19">
        <v>0.78930364426484567</v>
      </c>
      <c r="J128" s="19">
        <v>3.2040000000000002</v>
      </c>
      <c r="K128" s="19">
        <v>7.0358928407953787</v>
      </c>
    </row>
    <row r="129" spans="1:11" x14ac:dyDescent="0.3">
      <c r="A129" s="153">
        <v>44292.578345717593</v>
      </c>
      <c r="B129" s="19">
        <v>360.78213673211087</v>
      </c>
      <c r="C129" s="19">
        <v>360.7</v>
      </c>
      <c r="D129" s="19">
        <v>-2.2766296816926608</v>
      </c>
      <c r="E129" s="19">
        <v>360.75</v>
      </c>
      <c r="F129" s="19">
        <v>-0.89075175400752304</v>
      </c>
      <c r="G129" s="19">
        <v>3.2017472849199997</v>
      </c>
      <c r="H129" s="19">
        <v>3.202</v>
      </c>
      <c r="I129" s="19">
        <v>0.78930364426484567</v>
      </c>
      <c r="J129" s="19">
        <v>3.2040000000000002</v>
      </c>
      <c r="K129" s="19">
        <v>7.0358928407953787</v>
      </c>
    </row>
    <row r="130" spans="1:11" x14ac:dyDescent="0.3">
      <c r="A130" s="153">
        <v>44292.578403356485</v>
      </c>
      <c r="B130" s="19">
        <v>360.90967248894469</v>
      </c>
      <c r="C130" s="19">
        <v>360.7</v>
      </c>
      <c r="D130" s="19">
        <v>-5.8095558231714399</v>
      </c>
      <c r="E130" s="19">
        <v>360.75</v>
      </c>
      <c r="F130" s="19">
        <v>-4.4241676274160895</v>
      </c>
      <c r="G130" s="19">
        <v>3.2025741649199997</v>
      </c>
      <c r="H130" s="19">
        <v>3.202</v>
      </c>
      <c r="I130" s="19">
        <v>-1.7928231804557564</v>
      </c>
      <c r="J130" s="19">
        <v>3.2040000000000002</v>
      </c>
      <c r="K130" s="19">
        <v>4.4521531948226087</v>
      </c>
    </row>
    <row r="131" spans="1:11" x14ac:dyDescent="0.3">
      <c r="A131" s="153">
        <v>44292.578461342593</v>
      </c>
      <c r="B131" s="19">
        <v>360.89777994778188</v>
      </c>
      <c r="C131" s="19">
        <v>360.75</v>
      </c>
      <c r="D131" s="19">
        <v>-4.0947868341907521</v>
      </c>
      <c r="E131" s="19">
        <v>360.8</v>
      </c>
      <c r="F131" s="19">
        <v>-2.7093529862118082</v>
      </c>
      <c r="G131" s="19">
        <v>3.2024891849200001</v>
      </c>
      <c r="H131" s="19">
        <v>3.202</v>
      </c>
      <c r="I131" s="19">
        <v>-1.5275146667275414</v>
      </c>
      <c r="J131" s="19">
        <v>3.2050000000000001</v>
      </c>
      <c r="K131" s="19">
        <v>7.840198467563825</v>
      </c>
    </row>
    <row r="132" spans="1:11" x14ac:dyDescent="0.3">
      <c r="A132" s="153">
        <v>44292.578518750001</v>
      </c>
      <c r="B132" s="19">
        <v>360.88836820913514</v>
      </c>
      <c r="C132" s="19">
        <v>360.7</v>
      </c>
      <c r="D132" s="19">
        <v>-5.2195699758876488</v>
      </c>
      <c r="E132" s="19">
        <v>360.75</v>
      </c>
      <c r="F132" s="19">
        <v>-3.8340999966768941</v>
      </c>
      <c r="G132" s="19">
        <v>3.2026255649200004</v>
      </c>
      <c r="H132" s="19">
        <v>3.202</v>
      </c>
      <c r="I132" s="19">
        <v>-1.9532877238368587</v>
      </c>
      <c r="J132" s="19">
        <v>3.2040000000000002</v>
      </c>
      <c r="K132" s="19">
        <v>4.2915884237442041</v>
      </c>
    </row>
    <row r="133" spans="1:11" x14ac:dyDescent="0.3">
      <c r="A133" s="153">
        <v>44292.578577083332</v>
      </c>
      <c r="B133" s="19">
        <v>360.86526696898949</v>
      </c>
      <c r="C133" s="19">
        <v>360.7</v>
      </c>
      <c r="D133" s="19">
        <v>-4.5797416409072484</v>
      </c>
      <c r="E133" s="19">
        <v>360.75</v>
      </c>
      <c r="F133" s="19">
        <v>-3.1941829691077799</v>
      </c>
      <c r="G133" s="19">
        <v>3.2024677049200001</v>
      </c>
      <c r="H133" s="19">
        <v>3.202</v>
      </c>
      <c r="I133" s="19">
        <v>-1.4604516363478159</v>
      </c>
      <c r="J133" s="19">
        <v>3.2040000000000002</v>
      </c>
      <c r="K133" s="19">
        <v>4.7847323413940774</v>
      </c>
    </row>
    <row r="134" spans="1:11" x14ac:dyDescent="0.3">
      <c r="A134" s="153">
        <v>44292.578634606478</v>
      </c>
      <c r="B134" s="19">
        <v>360.83868796981955</v>
      </c>
      <c r="C134" s="19">
        <v>360.7</v>
      </c>
      <c r="D134" s="19">
        <v>-3.8434894717042356</v>
      </c>
      <c r="E134" s="19">
        <v>360.75</v>
      </c>
      <c r="F134" s="19">
        <v>-2.4578287411067068</v>
      </c>
      <c r="G134" s="19">
        <v>3.2022828649199999</v>
      </c>
      <c r="H134" s="19">
        <v>3.202</v>
      </c>
      <c r="I134" s="19">
        <v>-0.88332271673641016</v>
      </c>
      <c r="J134" s="19">
        <v>3.2040000000000002</v>
      </c>
      <c r="K134" s="19">
        <v>5.3622217412800683</v>
      </c>
    </row>
    <row r="135" spans="1:11" x14ac:dyDescent="0.3">
      <c r="A135" s="153">
        <v>44292.578692592593</v>
      </c>
      <c r="B135" s="19">
        <v>360.83868796981955</v>
      </c>
      <c r="C135" s="19">
        <v>360.7</v>
      </c>
      <c r="D135" s="19">
        <v>-3.8434894717042356</v>
      </c>
      <c r="E135" s="19">
        <v>360.75</v>
      </c>
      <c r="F135" s="19">
        <v>-2.4578287411067068</v>
      </c>
      <c r="G135" s="19">
        <v>3.2022828649199999</v>
      </c>
      <c r="H135" s="19">
        <v>3.202</v>
      </c>
      <c r="I135" s="19">
        <v>-0.88332271673641016</v>
      </c>
      <c r="J135" s="19">
        <v>3.2040000000000002</v>
      </c>
      <c r="K135" s="19">
        <v>5.3622217412800683</v>
      </c>
    </row>
    <row r="136" spans="1:11" x14ac:dyDescent="0.3">
      <c r="A136" s="153">
        <v>44292.578750347224</v>
      </c>
      <c r="B136" s="19">
        <v>360.86526696898949</v>
      </c>
      <c r="C136" s="19">
        <v>360.7</v>
      </c>
      <c r="D136" s="19">
        <v>-4.5797416409072484</v>
      </c>
      <c r="E136" s="19">
        <v>360.75</v>
      </c>
      <c r="F136" s="19">
        <v>-3.1941829691077799</v>
      </c>
      <c r="G136" s="19">
        <v>3.2024677049200001</v>
      </c>
      <c r="H136" s="19">
        <v>3.202</v>
      </c>
      <c r="I136" s="19">
        <v>-1.4604516363478159</v>
      </c>
      <c r="J136" s="19">
        <v>3.2040000000000002</v>
      </c>
      <c r="K136" s="19">
        <v>4.7847323413940774</v>
      </c>
    </row>
    <row r="137" spans="1:11" x14ac:dyDescent="0.3">
      <c r="A137" s="153">
        <v>44292.578808217593</v>
      </c>
      <c r="B137" s="19">
        <v>360.83868796981955</v>
      </c>
      <c r="C137" s="19">
        <v>360.75</v>
      </c>
      <c r="D137" s="19">
        <v>-2.4578287411067068</v>
      </c>
      <c r="E137" s="19">
        <v>360.8</v>
      </c>
      <c r="F137" s="19">
        <v>-1.0721680105091786</v>
      </c>
      <c r="G137" s="19">
        <v>3.2022828649199999</v>
      </c>
      <c r="H137" s="19">
        <v>3.202</v>
      </c>
      <c r="I137" s="19">
        <v>-0.88332271673641016</v>
      </c>
      <c r="J137" s="19">
        <v>3.2050000000000001</v>
      </c>
      <c r="K137" s="19">
        <v>8.4849939702876149</v>
      </c>
    </row>
    <row r="138" spans="1:11" x14ac:dyDescent="0.3">
      <c r="A138" s="153">
        <v>44292.578866435186</v>
      </c>
      <c r="B138" s="19">
        <v>360.7110130589208</v>
      </c>
      <c r="C138" s="19">
        <v>360.75</v>
      </c>
      <c r="D138" s="19">
        <v>1.0808358954328148</v>
      </c>
      <c r="E138" s="19">
        <v>360.8</v>
      </c>
      <c r="F138" s="19">
        <v>2.4669870854394271</v>
      </c>
      <c r="G138" s="19">
        <v>3.2014535049199999</v>
      </c>
      <c r="H138" s="19">
        <v>3.202</v>
      </c>
      <c r="I138" s="19">
        <v>1.7070217610850436</v>
      </c>
      <c r="J138" s="19">
        <v>3.2050000000000001</v>
      </c>
      <c r="K138" s="19">
        <v>11.077765379225079</v>
      </c>
    </row>
    <row r="139" spans="1:11" x14ac:dyDescent="0.3">
      <c r="A139" s="153">
        <v>44292.578924421294</v>
      </c>
      <c r="B139" s="19">
        <v>360.7110130589208</v>
      </c>
      <c r="C139" s="19">
        <v>360.75</v>
      </c>
      <c r="D139" s="19">
        <v>1.0808358954328148</v>
      </c>
      <c r="E139" s="19">
        <v>360.8</v>
      </c>
      <c r="F139" s="19">
        <v>2.4669870854394271</v>
      </c>
      <c r="G139" s="19">
        <v>3.2014535049199999</v>
      </c>
      <c r="H139" s="19">
        <v>3.202</v>
      </c>
      <c r="I139" s="19">
        <v>1.7070217610850436</v>
      </c>
      <c r="J139" s="19">
        <v>3.2050000000000001</v>
      </c>
      <c r="K139" s="19">
        <v>11.077765379225079</v>
      </c>
    </row>
    <row r="140" spans="1:11" x14ac:dyDescent="0.3">
      <c r="A140" s="153">
        <v>44292.578982175924</v>
      </c>
      <c r="B140" s="19">
        <v>360.71774036495242</v>
      </c>
      <c r="C140" s="19">
        <v>360.7</v>
      </c>
      <c r="D140" s="19">
        <v>-0.49180738752915726</v>
      </c>
      <c r="E140" s="19">
        <v>360.75</v>
      </c>
      <c r="F140" s="19">
        <v>0.89431795106451395</v>
      </c>
      <c r="G140" s="19">
        <v>3.2015019649199998</v>
      </c>
      <c r="H140" s="19">
        <v>3.202</v>
      </c>
      <c r="I140" s="19">
        <v>1.5556294684722161</v>
      </c>
      <c r="J140" s="19">
        <v>3.2040000000000002</v>
      </c>
      <c r="K140" s="19">
        <v>7.8026973194838289</v>
      </c>
    </row>
    <row r="141" spans="1:11" x14ac:dyDescent="0.3">
      <c r="A141" s="153">
        <v>44292.579040046294</v>
      </c>
      <c r="B141" s="19">
        <v>360.86781224753958</v>
      </c>
      <c r="C141" s="19">
        <v>360.7</v>
      </c>
      <c r="D141" s="19">
        <v>-4.6502414968635328</v>
      </c>
      <c r="E141" s="19">
        <v>360.75</v>
      </c>
      <c r="F141" s="19">
        <v>-3.2646925977083612</v>
      </c>
      <c r="G141" s="19">
        <v>3.2022803849199999</v>
      </c>
      <c r="H141" s="19">
        <v>3.202</v>
      </c>
      <c r="I141" s="19">
        <v>-0.87557891969830315</v>
      </c>
      <c r="J141" s="19">
        <v>3.2040000000000002</v>
      </c>
      <c r="K141" s="19">
        <v>5.3699703751682941</v>
      </c>
    </row>
    <row r="142" spans="1:11" x14ac:dyDescent="0.3">
      <c r="A142" s="153">
        <v>44292.579097685186</v>
      </c>
      <c r="B142" s="19">
        <v>360.86795140160456</v>
      </c>
      <c r="C142" s="19">
        <v>360.7</v>
      </c>
      <c r="D142" s="19">
        <v>-4.6540957974308466</v>
      </c>
      <c r="E142" s="19">
        <v>360.75</v>
      </c>
      <c r="F142" s="19">
        <v>-3.2685474325563191</v>
      </c>
      <c r="G142" s="19">
        <v>3.2021573449200003</v>
      </c>
      <c r="H142" s="19">
        <v>3.202</v>
      </c>
      <c r="I142" s="19">
        <v>-0.49137160686347481</v>
      </c>
      <c r="J142" s="19">
        <v>3.2040000000000002</v>
      </c>
      <c r="K142" s="19">
        <v>5.7544176675864041</v>
      </c>
    </row>
    <row r="143" spans="1:11" x14ac:dyDescent="0.3">
      <c r="A143" s="153">
        <v>44292.579216319442</v>
      </c>
      <c r="B143" s="19">
        <v>360.82384184887513</v>
      </c>
      <c r="C143" s="19">
        <v>360.7</v>
      </c>
      <c r="D143" s="19">
        <v>-3.4321969479781207</v>
      </c>
      <c r="E143" s="19">
        <v>360.75</v>
      </c>
      <c r="F143" s="19">
        <v>-2.0464792042777749</v>
      </c>
      <c r="G143" s="19">
        <v>3.2018970849200001</v>
      </c>
      <c r="H143" s="19">
        <v>3.202</v>
      </c>
      <c r="I143" s="19">
        <v>0.32141907522425145</v>
      </c>
      <c r="J143" s="19">
        <v>3.2040000000000002</v>
      </c>
      <c r="K143" s="19">
        <v>6.5677160265523868</v>
      </c>
    </row>
    <row r="144" spans="1:11" x14ac:dyDescent="0.3">
      <c r="A144" s="153">
        <v>44292.579271180555</v>
      </c>
      <c r="B144" s="19">
        <v>360.78524518371762</v>
      </c>
      <c r="C144" s="19">
        <v>360.7</v>
      </c>
      <c r="D144" s="19">
        <v>-2.3627680138145224</v>
      </c>
      <c r="E144" s="19">
        <v>360.75</v>
      </c>
      <c r="F144" s="19">
        <v>-0.97690202656910241</v>
      </c>
      <c r="G144" s="19">
        <v>3.2011577749200004</v>
      </c>
      <c r="H144" s="19">
        <v>3.202</v>
      </c>
      <c r="I144" s="19">
        <v>2.631001466400964</v>
      </c>
      <c r="J144" s="19">
        <v>3.2040000000000002</v>
      </c>
      <c r="K144" s="19">
        <v>8.8787410051064732</v>
      </c>
    </row>
    <row r="145" spans="1:11" x14ac:dyDescent="0.3">
      <c r="A145" s="153">
        <v>44292.579345949074</v>
      </c>
      <c r="B145" s="19">
        <v>360.78524518371762</v>
      </c>
      <c r="C145" s="19">
        <v>360.7</v>
      </c>
      <c r="D145" s="19">
        <v>-2.3627680138145224</v>
      </c>
      <c r="E145" s="19">
        <v>360.75</v>
      </c>
      <c r="F145" s="19">
        <v>-0.97690202656910241</v>
      </c>
      <c r="G145" s="19">
        <v>3.2013711949200006</v>
      </c>
      <c r="H145" s="19">
        <v>3.202</v>
      </c>
      <c r="I145" s="19">
        <v>1.964174229458947</v>
      </c>
      <c r="J145" s="19">
        <v>3.2040000000000002</v>
      </c>
      <c r="K145" s="19">
        <v>8.2114972614580584</v>
      </c>
    </row>
    <row r="146" spans="1:11" x14ac:dyDescent="0.3">
      <c r="A146" s="153">
        <v>44292.579398726855</v>
      </c>
      <c r="B146" s="19">
        <v>360.73181051514871</v>
      </c>
      <c r="C146" s="19">
        <v>360.7</v>
      </c>
      <c r="D146" s="19">
        <v>-0.88183282487044157</v>
      </c>
      <c r="E146" s="19">
        <v>360.75</v>
      </c>
      <c r="F146" s="19">
        <v>0.50423844865013012</v>
      </c>
      <c r="G146" s="19">
        <v>3.20135769492</v>
      </c>
      <c r="H146" s="19">
        <v>3.202</v>
      </c>
      <c r="I146" s="19">
        <v>2.0063521205992934</v>
      </c>
      <c r="J146" s="19">
        <v>3.2040000000000002</v>
      </c>
      <c r="K146" s="19">
        <v>8.2537014973149212</v>
      </c>
    </row>
    <row r="147" spans="1:11" x14ac:dyDescent="0.3">
      <c r="A147" s="153">
        <v>44292.579456712963</v>
      </c>
      <c r="B147" s="19">
        <v>360.73181051514871</v>
      </c>
      <c r="C147" s="19">
        <v>360.7</v>
      </c>
      <c r="D147" s="19">
        <v>-0.88183282487044157</v>
      </c>
      <c r="E147" s="19">
        <v>360.75</v>
      </c>
      <c r="F147" s="19">
        <v>0.50423844865013012</v>
      </c>
      <c r="G147" s="19">
        <v>3.20135769492</v>
      </c>
      <c r="H147" s="19">
        <v>3.202</v>
      </c>
      <c r="I147" s="19">
        <v>2.0063521205992934</v>
      </c>
      <c r="J147" s="19">
        <v>3.2040000000000002</v>
      </c>
      <c r="K147" s="19">
        <v>8.2537014973149212</v>
      </c>
    </row>
    <row r="148" spans="1:11" x14ac:dyDescent="0.3">
      <c r="A148" s="153">
        <v>44292.579514351855</v>
      </c>
      <c r="B148" s="19">
        <v>360.73181051514871</v>
      </c>
      <c r="C148" s="19">
        <v>360.7</v>
      </c>
      <c r="D148" s="19">
        <v>-0.88183282487044157</v>
      </c>
      <c r="E148" s="19">
        <v>360.75</v>
      </c>
      <c r="F148" s="19">
        <v>0.50423844865013012</v>
      </c>
      <c r="G148" s="19">
        <v>3.2017042613619999</v>
      </c>
      <c r="H148" s="19">
        <v>3.202</v>
      </c>
      <c r="I148" s="19">
        <v>0.92369130268835253</v>
      </c>
      <c r="J148" s="19">
        <v>3.2040000000000002</v>
      </c>
      <c r="K148" s="19">
        <v>7.170364439043011</v>
      </c>
    </row>
    <row r="149" spans="1:11" x14ac:dyDescent="0.3">
      <c r="A149" s="153">
        <v>44292.579571875001</v>
      </c>
      <c r="B149" s="19">
        <v>360.73181051514871</v>
      </c>
      <c r="C149" s="19">
        <v>360.7</v>
      </c>
      <c r="D149" s="19">
        <v>-0.88183282487044157</v>
      </c>
      <c r="E149" s="19">
        <v>360.75</v>
      </c>
      <c r="F149" s="19">
        <v>0.50423844865013012</v>
      </c>
      <c r="G149" s="19">
        <v>3.2011968913619997</v>
      </c>
      <c r="H149" s="19">
        <v>3.202</v>
      </c>
      <c r="I149" s="19">
        <v>2.5087761398473849</v>
      </c>
      <c r="J149" s="19">
        <v>3.2040000000000002</v>
      </c>
      <c r="K149" s="19">
        <v>8.7564393354382446</v>
      </c>
    </row>
    <row r="150" spans="1:11" x14ac:dyDescent="0.3">
      <c r="A150" s="153">
        <v>44292.579630324071</v>
      </c>
      <c r="B150" s="19">
        <v>360.79027365253467</v>
      </c>
      <c r="C150" s="19">
        <v>360.7</v>
      </c>
      <c r="D150" s="19">
        <v>-2.5021088185325193</v>
      </c>
      <c r="E150" s="19">
        <v>360.75</v>
      </c>
      <c r="F150" s="19">
        <v>-1.1162621466190537</v>
      </c>
      <c r="G150" s="19">
        <v>3.2016785713620006</v>
      </c>
      <c r="H150" s="19">
        <v>3.202</v>
      </c>
      <c r="I150" s="19">
        <v>1.0039378745712007</v>
      </c>
      <c r="J150" s="19">
        <v>3.2040000000000002</v>
      </c>
      <c r="K150" s="19">
        <v>7.2506611337065481</v>
      </c>
    </row>
    <row r="151" spans="1:11" x14ac:dyDescent="0.3">
      <c r="A151" s="153">
        <v>44292.579687962963</v>
      </c>
      <c r="B151" s="19">
        <v>360.79027365253467</v>
      </c>
      <c r="C151" s="19">
        <v>360.7</v>
      </c>
      <c r="D151" s="19">
        <v>-2.5021088185325193</v>
      </c>
      <c r="E151" s="19">
        <v>360.75</v>
      </c>
      <c r="F151" s="19">
        <v>-1.1162621466190537</v>
      </c>
      <c r="G151" s="19">
        <v>3.2015530513620005</v>
      </c>
      <c r="H151" s="19">
        <v>3.202</v>
      </c>
      <c r="I151" s="19">
        <v>1.3960369571551947</v>
      </c>
      <c r="J151" s="19">
        <v>3.2050000000000001</v>
      </c>
      <c r="K151" s="19">
        <v>10.766489209145391</v>
      </c>
    </row>
    <row r="152" spans="1:11" x14ac:dyDescent="0.3">
      <c r="A152" s="153">
        <v>44292.579746064817</v>
      </c>
      <c r="B152" s="19">
        <v>360.79027365253467</v>
      </c>
      <c r="C152" s="19">
        <v>360.7</v>
      </c>
      <c r="D152" s="19">
        <v>-2.5021088185325193</v>
      </c>
      <c r="E152" s="19">
        <v>360.75</v>
      </c>
      <c r="F152" s="19">
        <v>-1.1162621466190537</v>
      </c>
      <c r="G152" s="19">
        <v>3.2015530513620005</v>
      </c>
      <c r="H152" s="19">
        <v>3.202</v>
      </c>
      <c r="I152" s="19">
        <v>1.3960369571551947</v>
      </c>
      <c r="J152" s="19">
        <v>3.2050000000000001</v>
      </c>
      <c r="K152" s="19">
        <v>10.766489209145391</v>
      </c>
    </row>
    <row r="153" spans="1:11" x14ac:dyDescent="0.3">
      <c r="A153" s="153">
        <v>44292.579803935187</v>
      </c>
      <c r="B153" s="19">
        <v>360.66946520173241</v>
      </c>
      <c r="C153" s="19">
        <v>360.7</v>
      </c>
      <c r="D153" s="19">
        <v>0.8466144548860618</v>
      </c>
      <c r="E153" s="19">
        <v>360.75</v>
      </c>
      <c r="F153" s="19">
        <v>2.2329253246472431</v>
      </c>
      <c r="G153" s="19">
        <v>3.200774631362</v>
      </c>
      <c r="H153" s="19">
        <v>3.202</v>
      </c>
      <c r="I153" s="19">
        <v>3.8283502561956815</v>
      </c>
      <c r="J153" s="19">
        <v>3.2050000000000001</v>
      </c>
      <c r="K153" s="19">
        <v>13.201081377610336</v>
      </c>
    </row>
    <row r="154" spans="1:11" x14ac:dyDescent="0.3">
      <c r="A154" s="153">
        <v>44292.579861689817</v>
      </c>
      <c r="B154" s="19">
        <v>360.57458186136353</v>
      </c>
      <c r="C154" s="19">
        <v>360.7</v>
      </c>
      <c r="D154" s="19">
        <v>3.4782856292594646</v>
      </c>
      <c r="E154" s="19">
        <v>360.75</v>
      </c>
      <c r="F154" s="19">
        <v>4.8649612995715703</v>
      </c>
      <c r="G154" s="19">
        <v>3.200163911362</v>
      </c>
      <c r="H154" s="19">
        <v>3.202</v>
      </c>
      <c r="I154" s="19">
        <v>5.7374831066654783</v>
      </c>
      <c r="J154" s="19">
        <v>3.2050000000000001</v>
      </c>
      <c r="K154" s="19">
        <v>15.112002922193627</v>
      </c>
    </row>
    <row r="155" spans="1:11" x14ac:dyDescent="0.3">
      <c r="A155" s="153">
        <v>44292.579919097225</v>
      </c>
      <c r="B155" s="19">
        <v>360.53177951759034</v>
      </c>
      <c r="C155" s="19">
        <v>360.7</v>
      </c>
      <c r="D155" s="19">
        <v>4.6658988740115799</v>
      </c>
      <c r="E155" s="19">
        <v>360.75</v>
      </c>
      <c r="F155" s="19">
        <v>6.0527391705012228</v>
      </c>
      <c r="G155" s="19">
        <v>3.2000030513620001</v>
      </c>
      <c r="H155" s="19">
        <v>3.202</v>
      </c>
      <c r="I155" s="19">
        <v>6.2404585431562873</v>
      </c>
      <c r="J155" s="19">
        <v>3.2050000000000001</v>
      </c>
      <c r="K155" s="19">
        <v>15.615449603628058</v>
      </c>
    </row>
    <row r="156" spans="1:11" x14ac:dyDescent="0.3">
      <c r="A156" s="153">
        <v>44292.579977314817</v>
      </c>
      <c r="B156" s="19">
        <v>360.50662268540594</v>
      </c>
      <c r="C156" s="19">
        <v>360.7</v>
      </c>
      <c r="D156" s="19">
        <v>5.3640433330622761</v>
      </c>
      <c r="E156" s="19">
        <v>360.75</v>
      </c>
      <c r="F156" s="19">
        <v>6.7509804058839205</v>
      </c>
      <c r="G156" s="19">
        <v>3.1998486513619997</v>
      </c>
      <c r="H156" s="19">
        <v>3.202</v>
      </c>
      <c r="I156" s="19">
        <v>6.7232824811403198</v>
      </c>
      <c r="J156" s="19">
        <v>3.2040000000000002</v>
      </c>
      <c r="K156" s="19">
        <v>12.97357809793124</v>
      </c>
    </row>
    <row r="157" spans="1:11" x14ac:dyDescent="0.3">
      <c r="A157" s="153">
        <v>44292.580035416664</v>
      </c>
      <c r="B157" s="19">
        <v>360.50662268540594</v>
      </c>
      <c r="C157" s="19">
        <v>360.7</v>
      </c>
      <c r="D157" s="19">
        <v>5.3640433330622761</v>
      </c>
      <c r="E157" s="19">
        <v>360.75</v>
      </c>
      <c r="F157" s="19">
        <v>6.7509804058839205</v>
      </c>
      <c r="G157" s="19">
        <v>3.1998486513619997</v>
      </c>
      <c r="H157" s="19">
        <v>3.202</v>
      </c>
      <c r="I157" s="19">
        <v>6.7232824811403198</v>
      </c>
      <c r="J157" s="19">
        <v>3.2040000000000002</v>
      </c>
      <c r="K157" s="19">
        <v>12.97357809793124</v>
      </c>
    </row>
    <row r="158" spans="1:11" x14ac:dyDescent="0.3">
      <c r="A158" s="153">
        <v>44292.580093287041</v>
      </c>
      <c r="B158" s="19">
        <v>360.49989537937432</v>
      </c>
      <c r="C158" s="19">
        <v>360.7</v>
      </c>
      <c r="D158" s="19">
        <v>5.5507539167267899</v>
      </c>
      <c r="E158" s="19">
        <v>360.75</v>
      </c>
      <c r="F158" s="19">
        <v>6.9377168712484156</v>
      </c>
      <c r="G158" s="19">
        <v>3.1999257113619994</v>
      </c>
      <c r="H158" s="19">
        <v>3.202</v>
      </c>
      <c r="I158" s="19">
        <v>6.4823024816961512</v>
      </c>
      <c r="J158" s="19">
        <v>3.2040000000000002</v>
      </c>
      <c r="K158" s="19">
        <v>12.732447580061432</v>
      </c>
    </row>
    <row r="159" spans="1:11" x14ac:dyDescent="0.3">
      <c r="A159" s="153">
        <v>44292.58015115741</v>
      </c>
      <c r="B159" s="19">
        <v>360.53177951759034</v>
      </c>
      <c r="C159" s="19">
        <v>360.7</v>
      </c>
      <c r="D159" s="19">
        <v>4.6658988740115799</v>
      </c>
      <c r="E159" s="19">
        <v>360.75</v>
      </c>
      <c r="F159" s="19">
        <v>6.0527391705012228</v>
      </c>
      <c r="G159" s="19">
        <v>3.2002225513619997</v>
      </c>
      <c r="H159" s="19">
        <v>3.202</v>
      </c>
      <c r="I159" s="19">
        <v>5.5541407182564511</v>
      </c>
      <c r="J159" s="19">
        <v>3.2040000000000002</v>
      </c>
      <c r="K159" s="19">
        <v>11.803706077856312</v>
      </c>
    </row>
    <row r="160" spans="1:11" x14ac:dyDescent="0.3">
      <c r="A160" s="153">
        <v>44292.580208912033</v>
      </c>
      <c r="B160" s="19">
        <v>360.53177951759034</v>
      </c>
      <c r="C160" s="19">
        <v>360.7</v>
      </c>
      <c r="D160" s="19">
        <v>4.6658988740115799</v>
      </c>
      <c r="E160" s="19">
        <v>360.75</v>
      </c>
      <c r="F160" s="19">
        <v>6.0527391705012228</v>
      </c>
      <c r="G160" s="19">
        <v>3.2000970313620001</v>
      </c>
      <c r="H160" s="19">
        <v>3.202</v>
      </c>
      <c r="I160" s="19">
        <v>5.9465966792574205</v>
      </c>
      <c r="J160" s="19">
        <v>3.2040000000000002</v>
      </c>
      <c r="K160" s="19">
        <v>12.196407170625552</v>
      </c>
    </row>
    <row r="161" spans="1:11" x14ac:dyDescent="0.3">
      <c r="A161" s="153">
        <v>44292.580266898149</v>
      </c>
      <c r="B161" s="19">
        <v>360.57458186136353</v>
      </c>
      <c r="C161" s="19">
        <v>360.7</v>
      </c>
      <c r="D161" s="19">
        <v>3.4782856292594646</v>
      </c>
      <c r="E161" s="19">
        <v>360.75</v>
      </c>
      <c r="F161" s="19">
        <v>4.8649612995715703</v>
      </c>
      <c r="G161" s="19">
        <v>3.2003235313619998</v>
      </c>
      <c r="H161" s="19">
        <v>3.202</v>
      </c>
      <c r="I161" s="19">
        <v>5.2384348693855962</v>
      </c>
      <c r="J161" s="19">
        <v>3.2040000000000002</v>
      </c>
      <c r="K161" s="19">
        <v>11.48780303607548</v>
      </c>
    </row>
    <row r="162" spans="1:11" x14ac:dyDescent="0.3">
      <c r="A162" s="153">
        <v>44292.580324768518</v>
      </c>
      <c r="B162" s="19">
        <v>360.57458186136353</v>
      </c>
      <c r="C162" s="19">
        <v>360.75</v>
      </c>
      <c r="D162" s="19">
        <v>4.8649612995715703</v>
      </c>
      <c r="E162" s="19">
        <v>360.8</v>
      </c>
      <c r="F162" s="19">
        <v>6.2516369698836769</v>
      </c>
      <c r="G162" s="19">
        <v>3.2003235313619998</v>
      </c>
      <c r="H162" s="19">
        <v>3.202</v>
      </c>
      <c r="I162" s="19">
        <v>5.2384348693855962</v>
      </c>
      <c r="J162" s="19">
        <v>3.2040000000000002</v>
      </c>
      <c r="K162" s="19">
        <v>11.48780303607548</v>
      </c>
    </row>
    <row r="163" spans="1:11" x14ac:dyDescent="0.3">
      <c r="A163" s="153">
        <v>44292.580382523149</v>
      </c>
      <c r="B163" s="19">
        <v>360.609532719725</v>
      </c>
      <c r="C163" s="19">
        <v>360.75</v>
      </c>
      <c r="D163" s="19">
        <v>3.8952736278377587</v>
      </c>
      <c r="E163" s="19">
        <v>360.8</v>
      </c>
      <c r="F163" s="19">
        <v>5.2818148993041643</v>
      </c>
      <c r="G163" s="19">
        <v>3.2005628913619999</v>
      </c>
      <c r="H163" s="19">
        <v>3.202</v>
      </c>
      <c r="I163" s="19">
        <v>4.4901746560852622</v>
      </c>
      <c r="J163" s="19">
        <v>3.2040000000000002</v>
      </c>
      <c r="K163" s="19">
        <v>10.739075452248413</v>
      </c>
    </row>
    <row r="164" spans="1:11" x14ac:dyDescent="0.3">
      <c r="A164" s="153">
        <v>44292.580439930556</v>
      </c>
      <c r="B164" s="19">
        <v>360.63611171889488</v>
      </c>
      <c r="C164" s="19">
        <v>360.75</v>
      </c>
      <c r="D164" s="19">
        <v>3.1579832802182461</v>
      </c>
      <c r="E164" s="19">
        <v>360.8</v>
      </c>
      <c r="F164" s="19">
        <v>4.5444223631402823</v>
      </c>
      <c r="G164" s="19">
        <v>3.2007477313620001</v>
      </c>
      <c r="H164" s="19">
        <v>3.202</v>
      </c>
      <c r="I164" s="19">
        <v>3.912425292783082</v>
      </c>
      <c r="J164" s="19">
        <v>3.2040000000000002</v>
      </c>
      <c r="K164" s="19">
        <v>10.16096522113655</v>
      </c>
    </row>
    <row r="165" spans="1:11" x14ac:dyDescent="0.3">
      <c r="A165" s="153">
        <v>44292.580498379626</v>
      </c>
      <c r="B165" s="19">
        <v>360.68368073711622</v>
      </c>
      <c r="C165" s="19">
        <v>360.75</v>
      </c>
      <c r="D165" s="19">
        <v>1.8387098287409693</v>
      </c>
      <c r="E165" s="19">
        <v>360.8</v>
      </c>
      <c r="F165" s="19">
        <v>3.2249660601797796</v>
      </c>
      <c r="G165" s="19">
        <v>3.2010854313619999</v>
      </c>
      <c r="H165" s="19">
        <v>3.202</v>
      </c>
      <c r="I165" s="19">
        <v>2.8570578874271733</v>
      </c>
      <c r="J165" s="19">
        <v>3.2040000000000002</v>
      </c>
      <c r="K165" s="19">
        <v>9.1049386231476888</v>
      </c>
    </row>
    <row r="166" spans="1:11" x14ac:dyDescent="0.3">
      <c r="A166" s="153">
        <v>44292.580555671295</v>
      </c>
      <c r="B166" s="19">
        <v>360.71294416890123</v>
      </c>
      <c r="C166" s="19">
        <v>360.75</v>
      </c>
      <c r="D166" s="19">
        <v>1.0272941877410935</v>
      </c>
      <c r="E166" s="19">
        <v>360.8</v>
      </c>
      <c r="F166" s="19">
        <v>2.4134379568595987</v>
      </c>
      <c r="G166" s="19">
        <v>3.2010854313619999</v>
      </c>
      <c r="H166" s="19">
        <v>3.202</v>
      </c>
      <c r="I166" s="19">
        <v>2.8570578874271733</v>
      </c>
      <c r="J166" s="19">
        <v>3.2040000000000002</v>
      </c>
      <c r="K166" s="19">
        <v>9.1049386231476888</v>
      </c>
    </row>
    <row r="167" spans="1:11" x14ac:dyDescent="0.3">
      <c r="A167" s="153">
        <v>44292.580613888887</v>
      </c>
      <c r="B167" s="19">
        <v>360.69653438077864</v>
      </c>
      <c r="C167" s="19">
        <v>360.75</v>
      </c>
      <c r="D167" s="19">
        <v>1.4822881321314194</v>
      </c>
      <c r="E167" s="19">
        <v>360.8</v>
      </c>
      <c r="F167" s="19">
        <v>2.8684949634736792</v>
      </c>
      <c r="G167" s="19">
        <v>3.2010883113619997</v>
      </c>
      <c r="H167" s="19">
        <v>3.202</v>
      </c>
      <c r="I167" s="19">
        <v>2.848058376784925</v>
      </c>
      <c r="J167" s="19">
        <v>3.2040000000000002</v>
      </c>
      <c r="K167" s="19">
        <v>9.0959334913245282</v>
      </c>
    </row>
    <row r="168" spans="1:11" x14ac:dyDescent="0.3">
      <c r="A168" s="153">
        <v>44292.580671412034</v>
      </c>
      <c r="B168" s="19">
        <v>360.68368073711622</v>
      </c>
      <c r="C168" s="19">
        <v>360.75</v>
      </c>
      <c r="D168" s="19">
        <v>1.8387098287409693</v>
      </c>
      <c r="E168" s="19">
        <v>360.8</v>
      </c>
      <c r="F168" s="19">
        <v>3.2249660601797796</v>
      </c>
      <c r="G168" s="19">
        <v>3.2010854313619999</v>
      </c>
      <c r="H168" s="19">
        <v>3.202</v>
      </c>
      <c r="I168" s="19">
        <v>2.8570578874271733</v>
      </c>
      <c r="J168" s="19">
        <v>3.2040000000000002</v>
      </c>
      <c r="K168" s="19">
        <v>9.1049386231476888</v>
      </c>
    </row>
    <row r="169" spans="1:11" x14ac:dyDescent="0.3">
      <c r="A169" s="153">
        <v>44292.580729745372</v>
      </c>
      <c r="B169" s="19">
        <v>360.68368073711622</v>
      </c>
      <c r="C169" s="19">
        <v>360.75</v>
      </c>
      <c r="D169" s="19">
        <v>1.8387098287409693</v>
      </c>
      <c r="E169" s="19">
        <v>360.8</v>
      </c>
      <c r="F169" s="19">
        <v>3.2249660601797796</v>
      </c>
      <c r="G169" s="19">
        <v>3.2010854313619999</v>
      </c>
      <c r="H169" s="19">
        <v>3.202</v>
      </c>
      <c r="I169" s="19">
        <v>2.8570578874271733</v>
      </c>
      <c r="J169" s="19">
        <v>3.2040000000000002</v>
      </c>
      <c r="K169" s="19">
        <v>9.1049386231476888</v>
      </c>
    </row>
    <row r="170" spans="1:11" x14ac:dyDescent="0.3">
      <c r="A170" s="153">
        <v>44292.580789699074</v>
      </c>
      <c r="B170" s="19">
        <v>360.68368073711622</v>
      </c>
      <c r="C170" s="19">
        <v>360.75</v>
      </c>
      <c r="D170" s="19">
        <v>1.8387098287409693</v>
      </c>
      <c r="E170" s="19">
        <v>360.8</v>
      </c>
      <c r="F170" s="19">
        <v>3.2249660601797796</v>
      </c>
      <c r="G170" s="19">
        <v>3.2010854313619999</v>
      </c>
      <c r="H170" s="19">
        <v>3.202</v>
      </c>
      <c r="I170" s="19">
        <v>2.8570578874271733</v>
      </c>
      <c r="J170" s="19">
        <v>3.2040000000000002</v>
      </c>
      <c r="K170" s="19">
        <v>9.1049386231476888</v>
      </c>
    </row>
    <row r="171" spans="1:11" x14ac:dyDescent="0.3">
      <c r="A171" s="153">
        <v>44292.635509375003</v>
      </c>
      <c r="B171" s="19">
        <v>361.27126618941918</v>
      </c>
      <c r="C171" s="19">
        <v>361.5</v>
      </c>
      <c r="D171" s="19">
        <v>6.3313590641579625</v>
      </c>
      <c r="E171" s="19">
        <v>361.55</v>
      </c>
      <c r="F171" s="19">
        <v>7.7153606352598212</v>
      </c>
      <c r="G171" s="19">
        <v>3.2058536451039998</v>
      </c>
      <c r="H171" s="19">
        <v>3.202</v>
      </c>
      <c r="I171" s="19">
        <v>-12.020652002892248</v>
      </c>
      <c r="J171" s="19">
        <v>3.2080000000000002</v>
      </c>
      <c r="K171" s="19">
        <v>6.6951119221498878</v>
      </c>
    </row>
    <row r="172" spans="1:11" x14ac:dyDescent="0.3">
      <c r="A172" s="153">
        <v>44292.636956018519</v>
      </c>
      <c r="B172" s="19">
        <v>361.35340881652508</v>
      </c>
      <c r="C172" s="19">
        <v>361.55</v>
      </c>
      <c r="D172" s="19">
        <v>5.4404131434319547</v>
      </c>
      <c r="E172" s="19">
        <v>361.6</v>
      </c>
      <c r="F172" s="19">
        <v>6.8241001041767619</v>
      </c>
      <c r="G172" s="19">
        <v>3.206743347368</v>
      </c>
      <c r="H172" s="19">
        <v>3.2029999999999998</v>
      </c>
      <c r="I172" s="19">
        <v>-11.673361296820408</v>
      </c>
      <c r="J172" s="19">
        <v>3.2080000000000002</v>
      </c>
      <c r="K172" s="19">
        <v>3.9187814423364031</v>
      </c>
    </row>
    <row r="173" spans="1:11" x14ac:dyDescent="0.3">
      <c r="A173" s="153">
        <v>44292.63953252315</v>
      </c>
      <c r="B173" s="19">
        <v>361.16431977873145</v>
      </c>
      <c r="C173" s="19">
        <v>361.45</v>
      </c>
      <c r="D173" s="19">
        <v>7.9099790766584634</v>
      </c>
      <c r="E173" s="19">
        <v>361.5</v>
      </c>
      <c r="F173" s="19">
        <v>9.294390472298101</v>
      </c>
      <c r="G173" s="19">
        <v>3.2053491926080002</v>
      </c>
      <c r="H173" s="19">
        <v>3.202</v>
      </c>
      <c r="I173" s="19">
        <v>-10.448760514841831</v>
      </c>
      <c r="J173" s="19">
        <v>3.2080000000000002</v>
      </c>
      <c r="K173" s="19">
        <v>8.2699488658306279</v>
      </c>
    </row>
    <row r="174" spans="1:11" x14ac:dyDescent="0.3">
      <c r="A174" s="153">
        <v>44292.908334027779</v>
      </c>
      <c r="B174" s="19" t="e">
        <v>#NAME?</v>
      </c>
      <c r="C174" s="19" t="e">
        <v>#NAME?</v>
      </c>
      <c r="D174" s="19" t="e">
        <v>#NAME?</v>
      </c>
      <c r="E174" s="19" t="e">
        <v>#NAME?</v>
      </c>
      <c r="F174" s="19" t="e">
        <v>#NAME?</v>
      </c>
      <c r="G174" s="19" t="e">
        <v>#NAME?</v>
      </c>
      <c r="H174" s="19" t="e">
        <v>#NAME?</v>
      </c>
      <c r="I174" s="19" t="e">
        <v>#NAME?</v>
      </c>
      <c r="J174" s="19" t="e">
        <v>#NAME?</v>
      </c>
      <c r="K174" s="19" t="e">
        <v>#NAME?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263E2832476B49A54C87E4A56DDA6B" ma:contentTypeVersion="8" ma:contentTypeDescription="Create a new document." ma:contentTypeScope="" ma:versionID="3aeb58edd78518ce9dd2f3e3941651eb">
  <xsd:schema xmlns:xsd="http://www.w3.org/2001/XMLSchema" xmlns:xs="http://www.w3.org/2001/XMLSchema" xmlns:p="http://schemas.microsoft.com/office/2006/metadata/properties" xmlns:ns3="5169ee94-f1e0-43f8-b4be-3d9d3166784f" xmlns:ns4="4ef8a92a-ebe7-41bb-be71-476a4bbe8c11" targetNamespace="http://schemas.microsoft.com/office/2006/metadata/properties" ma:root="true" ma:fieldsID="56d39fb5171dda119a5c64450d492a7c" ns3:_="" ns4:_="">
    <xsd:import namespace="5169ee94-f1e0-43f8-b4be-3d9d3166784f"/>
    <xsd:import namespace="4ef8a92a-ebe7-41bb-be71-476a4bbe8c11"/>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KeyPoints" minOccurs="0"/>
                <xsd:element ref="ns3:MediaServiceKeyPoint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69ee94-f1e0-43f8-b4be-3d9d3166784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ef8a92a-ebe7-41bb-be71-476a4bbe8c1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10F4E3B-1B89-47B0-8F70-4FDF11AFF45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169ee94-f1e0-43f8-b4be-3d9d3166784f"/>
    <ds:schemaRef ds:uri="4ef8a92a-ebe7-41bb-be71-476a4bbe8c1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2C72FB-9DD2-4721-8211-292FA7FA7455}">
  <ds:schemaRefs>
    <ds:schemaRef ds:uri="http://schemas.microsoft.com/sharepoint/v3/contenttype/forms"/>
  </ds:schemaRefs>
</ds:datastoreItem>
</file>

<file path=customXml/itemProps3.xml><?xml version="1.0" encoding="utf-8"?>
<ds:datastoreItem xmlns:ds="http://schemas.openxmlformats.org/officeDocument/2006/customXml" ds:itemID="{857700C6-5C31-41AF-8EC1-E7743C65C39F}">
  <ds:schemaRefs>
    <ds:schemaRef ds:uri="http://schemas.openxmlformats.org/package/2006/metadata/core-properties"/>
    <ds:schemaRef ds:uri="http://purl.org/dc/elements/1.1/"/>
    <ds:schemaRef ds:uri="http://schemas.microsoft.com/office/2006/documentManagement/types"/>
    <ds:schemaRef ds:uri="5169ee94-f1e0-43f8-b4be-3d9d3166784f"/>
    <ds:schemaRef ds:uri="http://schemas.microsoft.com/office/2006/metadata/properties"/>
    <ds:schemaRef ds:uri="http://schemas.microsoft.com/office/infopath/2007/PartnerControls"/>
    <ds:schemaRef ds:uri="http://purl.org/dc/terms/"/>
    <ds:schemaRef ds:uri="4ef8a92a-ebe7-41bb-be71-476a4bbe8c11"/>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Spread</vt:lpstr>
      <vt:lpstr>Trading MSCI Bid</vt:lpstr>
      <vt:lpstr>Trading MSCI Ask</vt:lpstr>
      <vt:lpstr>Trading ETF Bid</vt:lpstr>
      <vt:lpstr>Trading ETF Ask</vt:lpstr>
      <vt:lpstr>Dividend </vt:lpstr>
      <vt:lpstr>STI ETF </vt:lpstr>
      <vt:lpstr>SiMSCI </vt:lpstr>
      <vt:lpstr>Live Price</vt:lpstr>
      <vt:lpstr>Name Conversion </vt:lpstr>
      <vt:lpstr>Sheet2</vt:lpstr>
      <vt:lpstr>Historical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2021-04-08T07:38:51Z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preadsheetBuilder_1">
    <vt:lpwstr>eyIwIjoiRGF0YSIsIjEiOjAsIjIiOjEsIjMiOjEsIjQiOjEsIjUiOjAsIjYiOjAsIjciOjAsIjgiOjAsIjkiOjAsIjEwIjowLCIxMSI6MCwiMTIiOjB9</vt:lpwstr>
  </property>
  <property fmtid="{D5CDD505-2E9C-101B-9397-08002B2CF9AE}" pid="3" name="SpreadsheetBuilder_2">
    <vt:lpwstr>eyIwIjoiRGF0YSIsIjEiOjAsIjIiOjEsIjMiOjEsIjQiOjEsIjUiOjAsIjYiOjAsIjciOjAsIjgiOjAsIjkiOjAsIjEwIjowLCIxMSI6MCwiMTIiOjB9</vt:lpwstr>
  </property>
  <property fmtid="{D5CDD505-2E9C-101B-9397-08002B2CF9AE}" pid="4" name="SpreadsheetBuilder_3">
    <vt:lpwstr>eyIwIjoiRGF0YSIsIjEiOjAsIjIiOjEsIjMiOjEsIjQiOjEsIjUiOjEsIjYiOjEsIjciOjEsIjgiOjEsIjkiOjEsIjEwIjowLCIxMSI6MCwiMTIiOjB9</vt:lpwstr>
  </property>
  <property fmtid="{D5CDD505-2E9C-101B-9397-08002B2CF9AE}" pid="5" name="ContentTypeId">
    <vt:lpwstr>0x0101009B263E2832476B49A54C87E4A56DDA6B</vt:lpwstr>
  </property>
  <property fmtid="{D5CDD505-2E9C-101B-9397-08002B2CF9AE}" pid="6" name="SpreadsheetBuilder_4">
    <vt:lpwstr>eyIwIjoiRGF0YSIsIjEiOjAsIjIiOjEsIjMiOjEsIjQiOjEsIjUiOjEsIjYiOjEsIjciOjEsIjgiOjEsIjkiOjEsIjEwIjowLCIxMSI6MCwiMTIiOjB9</vt:lpwstr>
  </property>
  <property fmtid="{D5CDD505-2E9C-101B-9397-08002B2CF9AE}" pid="7" name="SpreadsheetBuilder_5">
    <vt:lpwstr>eyIwIjoiRGF0YSIsIjEiOjAsIjIiOjEsIjMiOjEsIjQiOjEsIjUiOjEsIjYiOjEsIjciOjEsIjgiOjEsIjkiOjEsIjEwIjowLCIxMSI6MCwiMTIiOjB9</vt:lpwstr>
  </property>
  <property fmtid="{D5CDD505-2E9C-101B-9397-08002B2CF9AE}" pid="8" name="SpreadsheetBuilder_6">
    <vt:lpwstr>eyIwIjoiRGF0YSIsIjEiOjAsIjIiOjEsIjMiOjEsIjQiOjEsIjUiOjEsIjYiOjEsIjciOjEsIjgiOjEsIjkiOjEsIjEwIjowLCIxMSI6MCwiMTIiOjB9</vt:lpwstr>
  </property>
  <property fmtid="{D5CDD505-2E9C-101B-9397-08002B2CF9AE}" pid="9" name="SpreadsheetBuilder_7">
    <vt:lpwstr>eyIwIjoiRGF0YSIsIjEiOjAsIjIiOjEsIjMiOjEsIjQiOjEsIjUiOjEsIjYiOjEsIjciOjEsIjgiOjEsIjkiOjEsIjEwIjowLCIxMSI6MCwiMTIiOjB9</vt:lpwstr>
  </property>
  <property fmtid="{D5CDD505-2E9C-101B-9397-08002B2CF9AE}" pid="10" name="SpreadsheetBuilder_8">
    <vt:lpwstr>eyIwIjoiRGF0YSIsIjEiOjAsIjIiOjEsIjMiOjEsIjQiOjEsIjUiOjEsIjYiOjEsIjciOjEsIjgiOjEsIjkiOjEsIjEwIjowLCIxMSI6MCwiMTIiOjB9</vt:lpwstr>
  </property>
  <property fmtid="{D5CDD505-2E9C-101B-9397-08002B2CF9AE}" pid="11" name="SpreadsheetBuilder_9">
    <vt:lpwstr>eyIwIjoiRGF0YSIsIjEiOjAsIjIiOjEsIjMiOjEsIjQiOjEsIjUiOjEsIjYiOjEsIjciOjEsIjgiOjEsIjkiOjEsIjEwIjowLCIxMSI6MCwiMTIiOjB9</vt:lpwstr>
  </property>
  <property fmtid="{D5CDD505-2E9C-101B-9397-08002B2CF9AE}" pid="12" name="SpreadsheetBuilder_10">
    <vt:lpwstr>eyIwIjoiRGF0YSIsIjEiOjAsIjIiOjEsIjMiOjEsIjQiOjEsIjUiOjEsIjYiOjEsIjciOjEsIjgiOjEsIjkiOjEsIjEwIjowLCIxMSI6MCwiMTIiOjB9</vt:lpwstr>
  </property>
  <property fmtid="{D5CDD505-2E9C-101B-9397-08002B2CF9AE}" pid="13" name="SpreadsheetBuilder_11">
    <vt:lpwstr>eyIwIjoiRGF0YSIsIjEiOjAsIjIiOjEsIjMiOjEsIjQiOjEsIjUiOjEsIjYiOjEsIjciOjEsIjgiOjEsIjkiOjEsIjEwIjowLCIxMSI6MCwiMTIiOjB9</vt:lpwstr>
  </property>
  <property fmtid="{D5CDD505-2E9C-101B-9397-08002B2CF9AE}" pid="14" name="SpreadsheetBuilder_12">
    <vt:lpwstr>eyIwIjoiRGF0YSIsIjEiOjAsIjIiOjEsIjMiOjEsIjQiOjEsIjUiOjEsIjYiOjEsIjciOjEsIjgiOjEsIjkiOjEsIjEwIjowLCIxMSI6MCwiMTIiOjB9</vt:lpwstr>
  </property>
  <property fmtid="{D5CDD505-2E9C-101B-9397-08002B2CF9AE}" pid="15" name="SpreadsheetBuilder_13">
    <vt:lpwstr>eyIwIjoiRGF0YSIsIjEiOjAsIjIiOjEsIjMiOjEsIjQiOjEsIjUiOjEsIjYiOjEsIjciOjEsIjgiOjEsIjkiOjEsIjEwIjowLCIxMSI6MCwiMTIiOjB9</vt:lpwstr>
  </property>
  <property fmtid="{D5CDD505-2E9C-101B-9397-08002B2CF9AE}" pid="16" name="SpreadsheetBuilder_14">
    <vt:lpwstr>eyIwIjoiRGF0YSIsIjEiOjAsIjIiOjEsIjMiOjEsIjQiOjEsIjUiOjEsIjYiOjEsIjciOjEsIjgiOjEsIjkiOjEsIjEwIjowLCIxMSI6MCwiMTIiOjB9</vt:lpwstr>
  </property>
</Properties>
</file>